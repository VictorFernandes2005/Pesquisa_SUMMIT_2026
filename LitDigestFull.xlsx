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hance\Dropbox\My Documents\Papers\Lit Digest\v3\"/>
    </mc:Choice>
  </mc:AlternateContent>
  <xr:revisionPtr revIDLastSave="2" documentId="13_ncr:1_{47BB566D-C253-41F4-A55B-3F2686F77D1E}" xr6:coauthVersionLast="47" xr6:coauthVersionMax="47" xr10:uidLastSave="{3D18C53B-BA9C-47D6-970B-9E8369C2DE1A}"/>
  <bookViews>
    <workbookView xWindow="-120" yWindow="-120" windowWidth="29040" windowHeight="17640" firstSheet="3" xr2:uid="{F7A8D82B-9A65-457C-8CA6-899D47103584}"/>
  </bookViews>
  <sheets>
    <sheet name="1924" sheetId="1" r:id="rId1"/>
    <sheet name="1928" sheetId="2" r:id="rId2"/>
    <sheet name="1932" sheetId="3" r:id="rId3"/>
    <sheet name="193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2" i="4" l="1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3" i="4"/>
  <c r="T5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AG51" i="4"/>
  <c r="AG52" i="4" s="1"/>
  <c r="X5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3" i="2"/>
  <c r="AE52" i="4" l="1"/>
  <c r="AD52" i="4"/>
  <c r="AC52" i="4"/>
  <c r="AB52" i="4"/>
  <c r="AA52" i="4"/>
  <c r="Y52" i="4" l="1"/>
  <c r="X52" i="4"/>
  <c r="W52" i="4"/>
  <c r="V52" i="4"/>
  <c r="U52" i="4"/>
  <c r="T52" i="4"/>
  <c r="S52" i="4"/>
  <c r="Q52" i="4"/>
  <c r="P52" i="4"/>
  <c r="O52" i="4"/>
  <c r="N52" i="4"/>
  <c r="M52" i="4"/>
  <c r="L52" i="4"/>
  <c r="K52" i="4"/>
  <c r="I52" i="4"/>
  <c r="H52" i="4"/>
  <c r="G52" i="4"/>
  <c r="F52" i="4"/>
  <c r="E52" i="4"/>
  <c r="D52" i="4"/>
  <c r="C52" i="4"/>
  <c r="B52" i="4"/>
  <c r="W53" i="2"/>
  <c r="W21" i="2"/>
  <c r="X2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tc={3CFEEEC9-1B6A-40A8-81F9-BD653E34C41C}</author>
  </authors>
  <commentList>
    <comment ref="W21" authorId="0" shapeId="0" xr:uid="{3CFEEEC9-1B6A-40A8-81F9-BD653E34C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Column was off by 370 and the distribution was most out of whack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tc={14B143CE-A674-4F12-AF42-9FD9D33664B3}</author>
  </authors>
  <commentList>
    <comment ref="A2" authorId="0" shapeId="0" xr:uid="{14B143CE-A674-4F12-AF42-9FD9D336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to full state names</t>
      </text>
    </comment>
  </commentList>
</comments>
</file>

<file path=xl/sharedStrings.xml><?xml version="1.0" encoding="utf-8"?>
<sst xmlns="http://schemas.openxmlformats.org/spreadsheetml/2006/main" count="1978" uniqueCount="267">
  <si>
    <t>1924 VOTE</t>
  </si>
  <si>
    <t>ELECTORAL VOTE</t>
  </si>
  <si>
    <t>COOLIDGE</t>
  </si>
  <si>
    <t>DAVIS</t>
  </si>
  <si>
    <t>LA FOLLETTE</t>
  </si>
  <si>
    <t>FARIS</t>
  </si>
  <si>
    <t>FOSTER</t>
  </si>
  <si>
    <t>NATIONS</t>
  </si>
  <si>
    <t>WALLACE</t>
  </si>
  <si>
    <t>JOHNS</t>
  </si>
  <si>
    <t>TOTAL FOR STATE</t>
  </si>
  <si>
    <t>HOW THE SAME VOTERS VOTED IN 1920</t>
  </si>
  <si>
    <t>REP.</t>
  </si>
  <si>
    <t>DEM.</t>
  </si>
  <si>
    <t>SOC.</t>
  </si>
  <si>
    <t>FARM. LABOR</t>
  </si>
  <si>
    <t>PROH.</t>
  </si>
  <si>
    <t>DID NOT VOTE</t>
  </si>
  <si>
    <t>TOTAL</t>
  </si>
  <si>
    <t>State - 1924</t>
  </si>
  <si>
    <t>Electoral votes</t>
  </si>
  <si>
    <t>Coolidge</t>
  </si>
  <si>
    <t>%</t>
  </si>
  <si>
    <t>Davis</t>
  </si>
  <si>
    <t>LaFollette (Prog)</t>
  </si>
  <si>
    <t>Faris (Proh.)</t>
  </si>
  <si>
    <t>Foster (Comm.)</t>
  </si>
  <si>
    <t>Johns (SL)</t>
  </si>
  <si>
    <t>Margin</t>
  </si>
  <si>
    <t>State Total</t>
  </si>
  <si>
    <t>https://en.wikipedia.org/wiki/1924_United_States_presidential_election</t>
  </si>
  <si>
    <t>Alabama</t>
  </si>
  <si>
    <t>-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</si>
  <si>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</si>
  <si>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</si>
  <si>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</si>
  <si>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</si>
  <si>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</si>
  <si>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</si>
  <si>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</si>
  <si>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</si>
  <si>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</si>
  <si>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</si>
  <si>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</si>
  <si>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</si>
  <si>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</si>
  <si>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 Columbia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</si>
  <si>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</si>
  <si>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</si>
  <si>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</si>
  <si>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</si>
  <si>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</si>
  <si>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</si>
  <si>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</si>
  <si>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</si>
  <si>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</si>
  <si>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</si>
  <si>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</si>
  <si>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</si>
  <si>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</si>
  <si>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</si>
  <si>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</si>
  <si>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</si>
  <si>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</si>
  <si>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</si>
  <si>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</si>
  <si>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</si>
  <si>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Mane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</si>
  <si>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</si>
  <si>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</si>
  <si>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</si>
  <si>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</si>
  <si>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</si>
  <si>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</si>
  <si>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</si>
  <si>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</si>
  <si>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</si>
  <si>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</si>
  <si>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</si>
  <si>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</si>
  <si>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</si>
  <si>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</si>
  <si>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</si>
  <si>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</si>
  <si>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</si>
  <si>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</si>
  <si>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</si>
  <si>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</si>
  <si>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N. Hampshire</t>
  </si>
  <si>
    <t>N Hampshire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</si>
  <si>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</si>
  <si>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</si>
  <si>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</si>
  <si>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</si>
  <si>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</si>
  <si>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</si>
  <si>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</si>
  <si>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</si>
  <si>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</si>
  <si>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</si>
  <si>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</si>
  <si>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</si>
  <si>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</si>
  <si>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</si>
  <si>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</si>
  <si>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</si>
  <si>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</si>
  <si>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</si>
  <si>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Pennsylvama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</si>
  <si>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</si>
  <si>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</si>
  <si>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</si>
  <si>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</si>
  <si>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</si>
  <si>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</si>
  <si>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</si>
  <si>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</si>
  <si>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</si>
  <si>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</si>
  <si>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</si>
  <si>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</si>
  <si>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</si>
  <si>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</si>
  <si>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</si>
  <si>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</si>
  <si>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</si>
  <si>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</si>
  <si>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</si>
  <si>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</si>
  <si>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</si>
  <si>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</si>
  <si>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</si>
  <si>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</si>
  <si>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unknown</t>
  </si>
  <si>
    <t>TOTALS:</t>
  </si>
  <si>
    <t>US</t>
  </si>
  <si>
    <t>Hoover (R)</t>
  </si>
  <si>
    <t>How the same voters voted in 1924</t>
  </si>
  <si>
    <t>Smith (D)</t>
  </si>
  <si>
    <t>VOTES FOR MINOR CANDIDATES</t>
  </si>
  <si>
    <t>State - 1928</t>
  </si>
  <si>
    <t>Hoover</t>
  </si>
  <si>
    <t>Smith</t>
  </si>
  <si>
    <t>Thomas (Soc.)</t>
  </si>
  <si>
    <t>Reynolds (Soc. Lab)</t>
  </si>
  <si>
    <t>State total</t>
  </si>
  <si>
    <t>State</t>
  </si>
  <si>
    <t>TOTAL 1928 VOTE</t>
  </si>
  <si>
    <t>Rep.</t>
  </si>
  <si>
    <t>Dem.</t>
  </si>
  <si>
    <t>Soc.</t>
  </si>
  <si>
    <t>F.Lab.</t>
  </si>
  <si>
    <t>Proh.</t>
  </si>
  <si>
    <t>No Vote</t>
  </si>
  <si>
    <t>soc.</t>
  </si>
  <si>
    <t>Foster (Work.)</t>
  </si>
  <si>
    <t>Varney (Proh.)</t>
  </si>
  <si>
    <t>Total</t>
  </si>
  <si>
    <t>ALABAMA</t>
  </si>
  <si>
    <t>https://en.wikipedia.org/wiki/1928_United_States_presidential_election</t>
  </si>
  <si>
    <t>ARIZONA</t>
  </si>
  <si>
    <t>ARKANSAS</t>
  </si>
  <si>
    <t>CALIFORNIA</t>
  </si>
  <si>
    <t xml:space="preserve">COLORADO </t>
  </si>
  <si>
    <t>CONNECTICUT</t>
  </si>
  <si>
    <t>DELAWARE</t>
  </si>
  <si>
    <t>DIST. OF COLUMBIA</t>
  </si>
  <si>
    <t xml:space="preserve">FLORIDA 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</si>
  <si>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</si>
  <si>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</si>
  <si>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</si>
  <si>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</si>
  <si>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</si>
  <si>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</si>
  <si>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</si>
  <si>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</si>
  <si>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</si>
  <si>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</si>
  <si>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</si>
  <si>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</si>
  <si>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</si>
  <si>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</si>
  <si>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</si>
  <si>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</si>
  <si>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</si>
  <si>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</si>
  <si>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</si>
  <si>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</si>
  <si>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</si>
  <si>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</si>
  <si>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</si>
  <si>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</si>
  <si>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</si>
  <si>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</si>
  <si>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</si>
  <si>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</si>
  <si>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</si>
  <si>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</si>
  <si>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</si>
  <si>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</si>
  <si>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</si>
  <si>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</si>
  <si>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</si>
  <si>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</si>
  <si>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</si>
  <si>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</si>
  <si>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</si>
  <si>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</si>
  <si>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STATE UNKNOWN </t>
  </si>
  <si>
    <t>STATE UNKNOWN . .</t>
  </si>
  <si>
    <t>TOTALS</t>
  </si>
  <si>
    <t>HOOVER</t>
  </si>
  <si>
    <t>How the same Voters voted in 1928</t>
  </si>
  <si>
    <t>ROOSEVELT</t>
  </si>
  <si>
    <t>GRAND TOTAL VOTES</t>
  </si>
  <si>
    <t>State - 1932</t>
  </si>
  <si>
    <t>Roosevelt</t>
  </si>
  <si>
    <t>Other</t>
  </si>
  <si>
    <t>Total votes</t>
  </si>
  <si>
    <t>Electoral Votes</t>
  </si>
  <si>
    <t>1932 Total Vote</t>
  </si>
  <si>
    <t>Did Not Vote</t>
  </si>
  <si>
    <t>Thomas</t>
  </si>
  <si>
    <t>Reynolds</t>
  </si>
  <si>
    <t>Coxey</t>
  </si>
  <si>
    <t>Upshaw</t>
  </si>
  <si>
    <t>Foster</t>
  </si>
  <si>
    <t>Miscellaneous</t>
  </si>
  <si>
    <t>Totals</t>
  </si>
  <si>
    <t>–</t>
  </si>
  <si>
    <t>https://en.wikipedia.org/wiki/1932_United_States_presidential_election</t>
  </si>
  <si>
    <t>COLORADO</t>
  </si>
  <si>
    <t>−6,788</t>
  </si>
  <si>
    <t>−1.14</t>
  </si>
  <si>
    <t>−2,754</t>
  </si>
  <si>
    <t>−2.44</t>
  </si>
  <si>
    <t>DISTRICT OF COLUMBIA</t>
  </si>
  <si>
    <t>FLORIDA</t>
  </si>
  <si>
    <t>−37,724</t>
  </si>
  <si>
    <t>−12.64</t>
  </si>
  <si>
    <t>−2,949</t>
  </si>
  <si>
    <t>−1.43</t>
  </si>
  <si>
    <t>−157,592</t>
  </si>
  <si>
    <t>−5.51</t>
  </si>
  <si>
    <t>−22,718</t>
  </si>
  <si>
    <t>−16.58</t>
  </si>
  <si>
    <t>STATE UNKNOWN</t>
  </si>
  <si>
    <t>Landon  (R)</t>
  </si>
  <si>
    <t>How did they vote in 1932?</t>
  </si>
  <si>
    <t>Roosevelt  (D)</t>
  </si>
  <si>
    <t>Lemke (Union)</t>
  </si>
  <si>
    <t>MINOR CANDIDATES</t>
  </si>
  <si>
    <t>Grand Total Votes</t>
  </si>
  <si>
    <t>State - 1936</t>
  </si>
  <si>
    <t xml:space="preserve">Roosevelt  </t>
  </si>
  <si>
    <t xml:space="preserve">Landon   </t>
  </si>
  <si>
    <t>Electoral Vote</t>
  </si>
  <si>
    <t>Others</t>
  </si>
  <si>
    <t>Vote Not Indicated</t>
  </si>
  <si>
    <t>Roosevelt (D)</t>
  </si>
  <si>
    <t>Did Note Vote</t>
  </si>
  <si>
    <t>Lemke</t>
  </si>
  <si>
    <t>Browder</t>
  </si>
  <si>
    <t>Colvin</t>
  </si>
  <si>
    <t>Aiken</t>
  </si>
  <si>
    <t>https://en.wikipedia.org/wiki/1936_United_States_presidential_election</t>
  </si>
  <si>
    <t>State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</si>
</sst>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02122"/>
      <name val="Arial"/>
      <family val="2"/>
    </font>
    <font>
      <b/>
      <sz val="10"/>
      <color rgb="FF202122"/>
      <name val="Arial"/>
      <family val="2"/>
    </font>
    <font>
      <sz val="8"/>
      <color rgb="FF202122"/>
      <name val="Arial"/>
      <family val="2"/>
    </font>
    <font>
      <b/>
      <sz val="8"/>
      <color rgb="FF2021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B0CEFF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5FD170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2" fillId="3" borderId="2" xfId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4" borderId="2" xfId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5" borderId="2" xfId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0" xfId="1"/>
    <xf numFmtId="0" fontId="2" fillId="3" borderId="2" xfId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2" fillId="4" borderId="2" xfId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3" fontId="1" fillId="0" borderId="0" xfId="0" applyNumberFormat="1" applyFont="1"/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5" borderId="2" xfId="0" applyNumberFormat="1" applyFont="1" applyFill="1" applyBorder="1" applyAlignment="1">
      <alignment vertical="center" wrapText="1"/>
    </xf>
    <xf numFmtId="2" fontId="7" fillId="3" borderId="2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/>
    </xf>
    <xf numFmtId="2" fontId="4" fillId="4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165" fontId="0" fillId="0" borderId="0" xfId="0" applyNumberFormat="1"/>
    <xf numFmtId="3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7" fillId="3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th L. Chance" id="{EF5AFA23-ED7C-49C6-B953-B2C5E391ABED}" userId="S::bchance@calpoly.edu::4491ed60-b426-4afa-a03f-23f888507d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1" dT="2023-07-12T17:50:14.46" personId="{EF5AFA23-ED7C-49C6-B953-B2C5E391ABED}" id="{3CFEEEC9-1B6A-40A8-81F9-BD653E34C41C}">
    <text xml:space="preserve">Column was off by 370 and the distribution was most out of whack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04-23T05:15:40.15" personId="{EF5AFA23-ED7C-49C6-B953-B2C5E391ABED}" id="{14B143CE-A674-4F12-AF42-9FD9D33664B3}">
    <text>Converted to full state names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4_United_States_presidential_election_in_Kansas" TargetMode="External"/><Relationship Id="rId18" Type="http://schemas.openxmlformats.org/officeDocument/2006/relationships/hyperlink" Target="https://en.wikipedia.org/wiki/1924_United_States_presidential_election_in_Massachusetts" TargetMode="External"/><Relationship Id="rId26" Type="http://schemas.openxmlformats.org/officeDocument/2006/relationships/hyperlink" Target="https://en.wikipedia.org/wiki/1924_United_States_presidential_election_in_New_Hampshire" TargetMode="External"/><Relationship Id="rId39" Type="http://schemas.openxmlformats.org/officeDocument/2006/relationships/hyperlink" Target="https://en.wikipedia.org/wiki/1924_United_States_presidential_election_in_Tennessee" TargetMode="External"/><Relationship Id="rId21" Type="http://schemas.openxmlformats.org/officeDocument/2006/relationships/hyperlink" Target="https://en.wikipedia.org/wiki/1924_United_States_presidential_election_in_Mississippi" TargetMode="External"/><Relationship Id="rId34" Type="http://schemas.openxmlformats.org/officeDocument/2006/relationships/hyperlink" Target="https://en.wikipedia.org/wiki/1924_United_States_presidential_election_in_Oregon" TargetMode="External"/><Relationship Id="rId42" Type="http://schemas.openxmlformats.org/officeDocument/2006/relationships/hyperlink" Target="https://en.wikipedia.org/wiki/1924_United_States_presidential_election_in_Vermont" TargetMode="External"/><Relationship Id="rId47" Type="http://schemas.openxmlformats.org/officeDocument/2006/relationships/hyperlink" Target="https://en.wikipedia.org/wiki/1924_United_States_presidential_election_in_Wyoming" TargetMode="External"/><Relationship Id="rId7" Type="http://schemas.openxmlformats.org/officeDocument/2006/relationships/hyperlink" Target="https://en.wikipedia.org/wiki/1924_United_States_presidential_election_in_Florida" TargetMode="External"/><Relationship Id="rId2" Type="http://schemas.openxmlformats.org/officeDocument/2006/relationships/hyperlink" Target="https://en.wikipedia.org/wiki/1924_United_States_presidential_election_in_Arkansas" TargetMode="External"/><Relationship Id="rId16" Type="http://schemas.openxmlformats.org/officeDocument/2006/relationships/hyperlink" Target="https://en.wikipedia.org/wiki/1924_United_States_presidential_election_in_Maine" TargetMode="External"/><Relationship Id="rId29" Type="http://schemas.openxmlformats.org/officeDocument/2006/relationships/hyperlink" Target="https://en.wikipedia.org/wiki/1924_United_States_presidential_election_in_New_York" TargetMode="External"/><Relationship Id="rId11" Type="http://schemas.openxmlformats.org/officeDocument/2006/relationships/hyperlink" Target="https://en.wikipedia.org/wiki/1924_United_States_presidential_election_in_Indiana" TargetMode="External"/><Relationship Id="rId24" Type="http://schemas.openxmlformats.org/officeDocument/2006/relationships/hyperlink" Target="https://en.wikipedia.org/wiki/1924_United_States_presidential_election_in_Nebraska" TargetMode="External"/><Relationship Id="rId32" Type="http://schemas.openxmlformats.org/officeDocument/2006/relationships/hyperlink" Target="https://en.wikipedia.org/wiki/1924_United_States_presidential_election_in_Ohio" TargetMode="External"/><Relationship Id="rId37" Type="http://schemas.openxmlformats.org/officeDocument/2006/relationships/hyperlink" Target="https://en.wikipedia.org/wiki/1924_United_States_presidential_election_in_South_Carolina" TargetMode="External"/><Relationship Id="rId40" Type="http://schemas.openxmlformats.org/officeDocument/2006/relationships/hyperlink" Target="https://en.wikipedia.org/wiki/1924_United_States_presidential_election_in_Texas" TargetMode="External"/><Relationship Id="rId45" Type="http://schemas.openxmlformats.org/officeDocument/2006/relationships/hyperlink" Target="https://en.wikipedia.org/wiki/1924_United_States_presidential_election_in_West_Virginia" TargetMode="External"/><Relationship Id="rId5" Type="http://schemas.openxmlformats.org/officeDocument/2006/relationships/hyperlink" Target="https://en.wikipedia.org/wiki/1924_United_States_presidential_election_in_Connecticut" TargetMode="External"/><Relationship Id="rId15" Type="http://schemas.openxmlformats.org/officeDocument/2006/relationships/hyperlink" Target="https://en.wikipedia.org/wiki/1924_United_States_presidential_election_in_Louisiana" TargetMode="External"/><Relationship Id="rId23" Type="http://schemas.openxmlformats.org/officeDocument/2006/relationships/hyperlink" Target="https://en.wikipedia.org/wiki/1924_United_States_presidential_election_in_Montana" TargetMode="External"/><Relationship Id="rId28" Type="http://schemas.openxmlformats.org/officeDocument/2006/relationships/hyperlink" Target="https://en.wikipedia.org/wiki/1924_United_States_presidential_election_in_New_Mexico" TargetMode="External"/><Relationship Id="rId36" Type="http://schemas.openxmlformats.org/officeDocument/2006/relationships/hyperlink" Target="https://en.wikipedia.org/wiki/1924_United_States_presidential_election_in_Rhode_Island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1924_United_States_presidential_election_in_Illinois" TargetMode="External"/><Relationship Id="rId19" Type="http://schemas.openxmlformats.org/officeDocument/2006/relationships/hyperlink" Target="https://en.wikipedia.org/wiki/1924_United_States_presidential_election_in_Michigan" TargetMode="External"/><Relationship Id="rId31" Type="http://schemas.openxmlformats.org/officeDocument/2006/relationships/hyperlink" Target="https://en.wikipedia.org/wiki/1924_United_States_presidential_election_in_North_Dakota" TargetMode="External"/><Relationship Id="rId44" Type="http://schemas.openxmlformats.org/officeDocument/2006/relationships/hyperlink" Target="https://en.wikipedia.org/wiki/1924_United_States_presidential_election_in_Washington_(state)" TargetMode="External"/><Relationship Id="rId4" Type="http://schemas.openxmlformats.org/officeDocument/2006/relationships/hyperlink" Target="https://en.wikipedia.org/wiki/1924_United_States_presidential_election_in_Colorado" TargetMode="External"/><Relationship Id="rId9" Type="http://schemas.openxmlformats.org/officeDocument/2006/relationships/hyperlink" Target="https://en.wikipedia.org/wiki/1924_United_States_presidential_election_in_Idaho" TargetMode="External"/><Relationship Id="rId14" Type="http://schemas.openxmlformats.org/officeDocument/2006/relationships/hyperlink" Target="https://en.wikipedia.org/wiki/1924_United_States_presidential_election_in_Kentucky" TargetMode="External"/><Relationship Id="rId22" Type="http://schemas.openxmlformats.org/officeDocument/2006/relationships/hyperlink" Target="https://en.wikipedia.org/wiki/1924_United_States_presidential_election_in_Missouri" TargetMode="External"/><Relationship Id="rId27" Type="http://schemas.openxmlformats.org/officeDocument/2006/relationships/hyperlink" Target="https://en.wikipedia.org/wiki/1924_United_States_presidential_election_in_New_Jersey" TargetMode="External"/><Relationship Id="rId30" Type="http://schemas.openxmlformats.org/officeDocument/2006/relationships/hyperlink" Target="https://en.wikipedia.org/wiki/1924_United_States_presidential_election_in_North_Carolina" TargetMode="External"/><Relationship Id="rId35" Type="http://schemas.openxmlformats.org/officeDocument/2006/relationships/hyperlink" Target="https://en.wikipedia.org/wiki/1924_United_States_presidential_election_in_Pennsylvania" TargetMode="External"/><Relationship Id="rId43" Type="http://schemas.openxmlformats.org/officeDocument/2006/relationships/hyperlink" Target="https://en.wikipedia.org/wiki/1924_United_States_presidential_election_in_Virginia" TargetMode="External"/><Relationship Id="rId48" Type="http://schemas.openxmlformats.org/officeDocument/2006/relationships/hyperlink" Target="https://en.wikipedia.org/wiki/1924_United_States_presidential_election_in_Alabama" TargetMode="External"/><Relationship Id="rId8" Type="http://schemas.openxmlformats.org/officeDocument/2006/relationships/hyperlink" Target="https://en.wikipedia.org/wiki/1924_United_States_presidential_election_in_Georgia" TargetMode="External"/><Relationship Id="rId3" Type="http://schemas.openxmlformats.org/officeDocument/2006/relationships/hyperlink" Target="https://en.wikipedia.org/wiki/1924_United_States_presidential_election_in_California" TargetMode="External"/><Relationship Id="rId12" Type="http://schemas.openxmlformats.org/officeDocument/2006/relationships/hyperlink" Target="https://en.wikipedia.org/wiki/1924_United_States_presidential_election_in_Iowa" TargetMode="External"/><Relationship Id="rId17" Type="http://schemas.openxmlformats.org/officeDocument/2006/relationships/hyperlink" Target="https://en.wikipedia.org/wiki/1924_United_States_presidential_election_in_Maryland" TargetMode="External"/><Relationship Id="rId25" Type="http://schemas.openxmlformats.org/officeDocument/2006/relationships/hyperlink" Target="https://en.wikipedia.org/wiki/1924_United_States_presidential_election_in_Nevada" TargetMode="External"/><Relationship Id="rId33" Type="http://schemas.openxmlformats.org/officeDocument/2006/relationships/hyperlink" Target="https://en.wikipedia.org/wiki/1924_United_States_presidential_election_in_Oklahoma" TargetMode="External"/><Relationship Id="rId38" Type="http://schemas.openxmlformats.org/officeDocument/2006/relationships/hyperlink" Target="https://en.wikipedia.org/wiki/1924_United_States_presidential_election_in_South_Dakota" TargetMode="External"/><Relationship Id="rId46" Type="http://schemas.openxmlformats.org/officeDocument/2006/relationships/hyperlink" Target="https://en.wikipedia.org/wiki/1924_United_States_presidential_election_in_Wisconsin" TargetMode="External"/><Relationship Id="rId20" Type="http://schemas.openxmlformats.org/officeDocument/2006/relationships/hyperlink" Target="https://en.wikipedia.org/wiki/1924_United_States_presidential_election_in_Minnesota" TargetMode="External"/><Relationship Id="rId41" Type="http://schemas.openxmlformats.org/officeDocument/2006/relationships/hyperlink" Target="https://en.wikipedia.org/wiki/1924_United_States_presidential_election_in_Utah" TargetMode="External"/><Relationship Id="rId1" Type="http://schemas.openxmlformats.org/officeDocument/2006/relationships/hyperlink" Target="https://en.wikipedia.org/wiki/1924_United_States_presidential_election_in_Arizona" TargetMode="External"/><Relationship Id="rId6" Type="http://schemas.openxmlformats.org/officeDocument/2006/relationships/hyperlink" Target="https://en.wikipedia.org/wiki/1924_United_States_presidential_election_in_Delawar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8_United_States_presidential_election_in_Indiana" TargetMode="External"/><Relationship Id="rId18" Type="http://schemas.openxmlformats.org/officeDocument/2006/relationships/hyperlink" Target="https://en.wikipedia.org/wiki/1928_United_States_presidential_election_in_Maine" TargetMode="External"/><Relationship Id="rId26" Type="http://schemas.openxmlformats.org/officeDocument/2006/relationships/hyperlink" Target="https://en.wikipedia.org/wiki/1928_United_States_presidential_election_in_Nebraska" TargetMode="External"/><Relationship Id="rId39" Type="http://schemas.openxmlformats.org/officeDocument/2006/relationships/hyperlink" Target="https://en.wikipedia.org/wiki/1928_United_States_presidential_election_in_South_Carolina" TargetMode="External"/><Relationship Id="rId21" Type="http://schemas.openxmlformats.org/officeDocument/2006/relationships/hyperlink" Target="https://en.wikipedia.org/wiki/1928_United_States_presidential_election_in_Michigan" TargetMode="External"/><Relationship Id="rId34" Type="http://schemas.openxmlformats.org/officeDocument/2006/relationships/hyperlink" Target="https://en.wikipedia.org/wiki/1928_United_States_presidential_election_in_Ohio" TargetMode="External"/><Relationship Id="rId42" Type="http://schemas.openxmlformats.org/officeDocument/2006/relationships/hyperlink" Target="https://en.wikipedia.org/wiki/1928_United_States_presidential_election_in_Texas" TargetMode="External"/><Relationship Id="rId47" Type="http://schemas.openxmlformats.org/officeDocument/2006/relationships/hyperlink" Target="https://en.wikipedia.org/wiki/1928_United_States_presidential_election_in_West_Virginia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en.wikipedia.org/wiki/1928_United_States_presidential_election_in_Connecticut" TargetMode="External"/><Relationship Id="rId2" Type="http://schemas.openxmlformats.org/officeDocument/2006/relationships/hyperlink" Target="https://en.wikipedia.org/wiki/1928_United_States_presidential_election_in_Alabama" TargetMode="External"/><Relationship Id="rId16" Type="http://schemas.openxmlformats.org/officeDocument/2006/relationships/hyperlink" Target="https://en.wikipedia.org/wiki/1928_United_States_presidential_election_in_Kentucky" TargetMode="External"/><Relationship Id="rId29" Type="http://schemas.openxmlformats.org/officeDocument/2006/relationships/hyperlink" Target="https://en.wikipedia.org/wiki/1928_United_States_presidential_election_in_New_Jersey" TargetMode="External"/><Relationship Id="rId11" Type="http://schemas.openxmlformats.org/officeDocument/2006/relationships/hyperlink" Target="https://en.wikipedia.org/wiki/1928_United_States_presidential_election_in_Idaho" TargetMode="External"/><Relationship Id="rId24" Type="http://schemas.openxmlformats.org/officeDocument/2006/relationships/hyperlink" Target="https://en.wikipedia.org/wiki/1928_United_States_presidential_election_in_Missouri" TargetMode="External"/><Relationship Id="rId32" Type="http://schemas.openxmlformats.org/officeDocument/2006/relationships/hyperlink" Target="https://en.wikipedia.org/wiki/1928_United_States_presidential_election_in_North_Carolina" TargetMode="External"/><Relationship Id="rId37" Type="http://schemas.openxmlformats.org/officeDocument/2006/relationships/hyperlink" Target="https://en.wikipedia.org/wiki/1928_United_States_presidential_election_in_Pennsylvania" TargetMode="External"/><Relationship Id="rId40" Type="http://schemas.openxmlformats.org/officeDocument/2006/relationships/hyperlink" Target="https://en.wikipedia.org/wiki/1928_United_States_presidential_election_in_South_Dakota" TargetMode="External"/><Relationship Id="rId45" Type="http://schemas.openxmlformats.org/officeDocument/2006/relationships/hyperlink" Target="https://en.wikipedia.org/wiki/1928_United_States_presidential_election_in_Virginia" TargetMode="External"/><Relationship Id="rId53" Type="http://schemas.microsoft.com/office/2017/10/relationships/threadedComment" Target="../threadedComments/threadedComment1.xml"/><Relationship Id="rId5" Type="http://schemas.openxmlformats.org/officeDocument/2006/relationships/hyperlink" Target="https://en.wikipedia.org/wiki/1928_United_States_presidential_election_in_California" TargetMode="External"/><Relationship Id="rId10" Type="http://schemas.openxmlformats.org/officeDocument/2006/relationships/hyperlink" Target="https://en.wikipedia.org/wiki/1928_United_States_presidential_election_in_Georgia" TargetMode="External"/><Relationship Id="rId19" Type="http://schemas.openxmlformats.org/officeDocument/2006/relationships/hyperlink" Target="https://en.wikipedia.org/wiki/1928_United_States_presidential_election_in_Maryland" TargetMode="External"/><Relationship Id="rId31" Type="http://schemas.openxmlformats.org/officeDocument/2006/relationships/hyperlink" Target="https://en.wikipedia.org/wiki/1928_United_States_presidential_election_in_New_York" TargetMode="External"/><Relationship Id="rId44" Type="http://schemas.openxmlformats.org/officeDocument/2006/relationships/hyperlink" Target="https://en.wikipedia.org/wiki/1928_United_States_presidential_election_in_Vermont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en.wikipedia.org/wiki/1928_United_States_presidential_election_in_Arkansas" TargetMode="External"/><Relationship Id="rId9" Type="http://schemas.openxmlformats.org/officeDocument/2006/relationships/hyperlink" Target="https://en.wikipedia.org/wiki/1928_United_States_presidential_election_in_Florida" TargetMode="External"/><Relationship Id="rId14" Type="http://schemas.openxmlformats.org/officeDocument/2006/relationships/hyperlink" Target="https://en.wikipedia.org/wiki/1928_United_States_presidential_election_in_Iowa" TargetMode="External"/><Relationship Id="rId22" Type="http://schemas.openxmlformats.org/officeDocument/2006/relationships/hyperlink" Target="https://en.wikipedia.org/wiki/1928_United_States_presidential_election_in_Minnesota" TargetMode="External"/><Relationship Id="rId27" Type="http://schemas.openxmlformats.org/officeDocument/2006/relationships/hyperlink" Target="https://en.wikipedia.org/wiki/1928_United_States_presidential_election_in_Nevada" TargetMode="External"/><Relationship Id="rId30" Type="http://schemas.openxmlformats.org/officeDocument/2006/relationships/hyperlink" Target="https://en.wikipedia.org/wiki/1928_United_States_presidential_election_in_New_Mexico" TargetMode="External"/><Relationship Id="rId35" Type="http://schemas.openxmlformats.org/officeDocument/2006/relationships/hyperlink" Target="https://en.wikipedia.org/wiki/1928_United_States_presidential_election_in_Oklahoma" TargetMode="External"/><Relationship Id="rId43" Type="http://schemas.openxmlformats.org/officeDocument/2006/relationships/hyperlink" Target="https://en.wikipedia.org/wiki/1928_United_States_presidential_election_in_Utah" TargetMode="External"/><Relationship Id="rId48" Type="http://schemas.openxmlformats.org/officeDocument/2006/relationships/hyperlink" Target="https://en.wikipedia.org/wiki/1928_United_States_presidential_election_in_Wisconsin" TargetMode="External"/><Relationship Id="rId8" Type="http://schemas.openxmlformats.org/officeDocument/2006/relationships/hyperlink" Target="https://en.wikipedia.org/wiki/1928_United_States_presidential_election_in_Delaware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en.wikipedia.org/wiki/1928_United_States_presidential_election_in_Arizona" TargetMode="External"/><Relationship Id="rId12" Type="http://schemas.openxmlformats.org/officeDocument/2006/relationships/hyperlink" Target="https://en.wikipedia.org/wiki/1928_United_States_presidential_election_in_Illinois" TargetMode="External"/><Relationship Id="rId17" Type="http://schemas.openxmlformats.org/officeDocument/2006/relationships/hyperlink" Target="https://en.wikipedia.org/wiki/1928_United_States_presidential_election_in_Louisiana" TargetMode="External"/><Relationship Id="rId25" Type="http://schemas.openxmlformats.org/officeDocument/2006/relationships/hyperlink" Target="https://en.wikipedia.org/wiki/1928_United_States_presidential_election_in_Montana" TargetMode="External"/><Relationship Id="rId33" Type="http://schemas.openxmlformats.org/officeDocument/2006/relationships/hyperlink" Target="https://en.wikipedia.org/wiki/1928_United_States_presidential_election_in_North_Dakota" TargetMode="External"/><Relationship Id="rId38" Type="http://schemas.openxmlformats.org/officeDocument/2006/relationships/hyperlink" Target="https://en.wikipedia.org/wiki/1928_United_States_presidential_election_in_Rhode_Island" TargetMode="External"/><Relationship Id="rId46" Type="http://schemas.openxmlformats.org/officeDocument/2006/relationships/hyperlink" Target="https://en.wikipedia.org/wiki/1928_United_States_presidential_election_in_Washington_(state)" TargetMode="External"/><Relationship Id="rId20" Type="http://schemas.openxmlformats.org/officeDocument/2006/relationships/hyperlink" Target="https://en.wikipedia.org/wiki/1928_United_States_presidential_election_in_Massachusetts" TargetMode="External"/><Relationship Id="rId41" Type="http://schemas.openxmlformats.org/officeDocument/2006/relationships/hyperlink" Target="https://en.wikipedia.org/wiki/1928_United_States_presidential_election_in_Tennessee" TargetMode="External"/><Relationship Id="rId1" Type="http://schemas.openxmlformats.org/officeDocument/2006/relationships/hyperlink" Target="https://en.wikipedia.org/wiki/1928_United_States_presidential_election" TargetMode="External"/><Relationship Id="rId6" Type="http://schemas.openxmlformats.org/officeDocument/2006/relationships/hyperlink" Target="https://en.wikipedia.org/wiki/1928_United_States_presidential_election_in_Colorado" TargetMode="External"/><Relationship Id="rId15" Type="http://schemas.openxmlformats.org/officeDocument/2006/relationships/hyperlink" Target="https://en.wikipedia.org/wiki/1928_United_States_presidential_election_in_Kansas" TargetMode="External"/><Relationship Id="rId23" Type="http://schemas.openxmlformats.org/officeDocument/2006/relationships/hyperlink" Target="https://en.wikipedia.org/wiki/1928_United_States_presidential_election_in_Mississippi" TargetMode="External"/><Relationship Id="rId28" Type="http://schemas.openxmlformats.org/officeDocument/2006/relationships/hyperlink" Target="https://en.wikipedia.org/wiki/1928_United_States_presidential_election_in_New_Hampshire" TargetMode="External"/><Relationship Id="rId36" Type="http://schemas.openxmlformats.org/officeDocument/2006/relationships/hyperlink" Target="https://en.wikipedia.org/wiki/1928_United_States_presidential_election_in_Oregon" TargetMode="External"/><Relationship Id="rId49" Type="http://schemas.openxmlformats.org/officeDocument/2006/relationships/hyperlink" Target="https://en.wikipedia.org/wiki/1928_United_States_presidential_election_in_Wyom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2_United_States_presidential_election_in_Iowa" TargetMode="External"/><Relationship Id="rId18" Type="http://schemas.openxmlformats.org/officeDocument/2006/relationships/hyperlink" Target="https://en.wikipedia.org/wiki/1932_United_States_presidential_election_in_Maryland" TargetMode="External"/><Relationship Id="rId26" Type="http://schemas.openxmlformats.org/officeDocument/2006/relationships/hyperlink" Target="https://en.wikipedia.org/wiki/1932_United_States_presidential_election_in_Nevada" TargetMode="External"/><Relationship Id="rId39" Type="http://schemas.openxmlformats.org/officeDocument/2006/relationships/hyperlink" Target="https://en.wikipedia.org/wiki/1932_United_States_presidential_election_in_South_Dakota" TargetMode="External"/><Relationship Id="rId21" Type="http://schemas.openxmlformats.org/officeDocument/2006/relationships/hyperlink" Target="https://en.wikipedia.org/wiki/1932_United_States_presidential_election_in_Minnesota" TargetMode="External"/><Relationship Id="rId34" Type="http://schemas.openxmlformats.org/officeDocument/2006/relationships/hyperlink" Target="https://en.wikipedia.org/wiki/1932_United_States_presidential_election_in_Oklahoma" TargetMode="External"/><Relationship Id="rId42" Type="http://schemas.openxmlformats.org/officeDocument/2006/relationships/hyperlink" Target="https://en.wikipedia.org/wiki/1932_United_States_presidential_election_in_Utah" TargetMode="External"/><Relationship Id="rId47" Type="http://schemas.openxmlformats.org/officeDocument/2006/relationships/hyperlink" Target="https://en.wikipedia.org/wiki/1932_United_States_presidential_election_in_Wisconsin" TargetMode="External"/><Relationship Id="rId7" Type="http://schemas.openxmlformats.org/officeDocument/2006/relationships/hyperlink" Target="https://en.wikipedia.org/wiki/1932_United_States_presidential_election_in_Delaware" TargetMode="External"/><Relationship Id="rId2" Type="http://schemas.openxmlformats.org/officeDocument/2006/relationships/hyperlink" Target="https://en.wikipedia.org/wiki/1932_United_States_presidential_election_in_Arizona" TargetMode="External"/><Relationship Id="rId16" Type="http://schemas.openxmlformats.org/officeDocument/2006/relationships/hyperlink" Target="https://en.wikipedia.org/wiki/1932_United_States_presidential_election_in_Louisiana" TargetMode="External"/><Relationship Id="rId29" Type="http://schemas.openxmlformats.org/officeDocument/2006/relationships/hyperlink" Target="https://en.wikipedia.org/wiki/1932_United_States_presidential_election_in_New_Mexico" TargetMode="External"/><Relationship Id="rId1" Type="http://schemas.openxmlformats.org/officeDocument/2006/relationships/hyperlink" Target="https://en.wikipedia.org/wiki/1932_United_States_presidential_election_in_Alabama" TargetMode="External"/><Relationship Id="rId6" Type="http://schemas.openxmlformats.org/officeDocument/2006/relationships/hyperlink" Target="https://en.wikipedia.org/wiki/1932_United_States_presidential_election_in_Connecticut" TargetMode="External"/><Relationship Id="rId11" Type="http://schemas.openxmlformats.org/officeDocument/2006/relationships/hyperlink" Target="https://en.wikipedia.org/wiki/1932_United_States_presidential_election_in_Illinois" TargetMode="External"/><Relationship Id="rId24" Type="http://schemas.openxmlformats.org/officeDocument/2006/relationships/hyperlink" Target="https://en.wikipedia.org/wiki/1932_United_States_presidential_election_in_Montana" TargetMode="External"/><Relationship Id="rId32" Type="http://schemas.openxmlformats.org/officeDocument/2006/relationships/hyperlink" Target="https://en.wikipedia.org/wiki/1932_United_States_presidential_election_in_North_Dakota" TargetMode="External"/><Relationship Id="rId37" Type="http://schemas.openxmlformats.org/officeDocument/2006/relationships/hyperlink" Target="https://en.wikipedia.org/wiki/1932_United_States_presidential_election_in_Rhode_Island" TargetMode="External"/><Relationship Id="rId40" Type="http://schemas.openxmlformats.org/officeDocument/2006/relationships/hyperlink" Target="https://en.wikipedia.org/wiki/1932_United_States_presidential_election_in_Tennessee" TargetMode="External"/><Relationship Id="rId45" Type="http://schemas.openxmlformats.org/officeDocument/2006/relationships/hyperlink" Target="https://en.wikipedia.org/wiki/1932_United_States_presidential_election_in_Washington_(state)" TargetMode="External"/><Relationship Id="rId5" Type="http://schemas.openxmlformats.org/officeDocument/2006/relationships/hyperlink" Target="https://en.wikipedia.org/wiki/1932_United_States_presidential_election_in_Colorado" TargetMode="External"/><Relationship Id="rId15" Type="http://schemas.openxmlformats.org/officeDocument/2006/relationships/hyperlink" Target="https://en.wikipedia.org/wiki/1932_United_States_presidential_election_in_Kentucky" TargetMode="External"/><Relationship Id="rId23" Type="http://schemas.openxmlformats.org/officeDocument/2006/relationships/hyperlink" Target="https://en.wikipedia.org/wiki/1932_United_States_presidential_election_in_Missouri" TargetMode="External"/><Relationship Id="rId28" Type="http://schemas.openxmlformats.org/officeDocument/2006/relationships/hyperlink" Target="https://en.wikipedia.org/wiki/1932_United_States_presidential_election_in_New_Jersey" TargetMode="External"/><Relationship Id="rId36" Type="http://schemas.openxmlformats.org/officeDocument/2006/relationships/hyperlink" Target="https://en.wikipedia.org/wiki/1932_United_States_presidential_election_in_Pennsylvania" TargetMode="External"/><Relationship Id="rId10" Type="http://schemas.openxmlformats.org/officeDocument/2006/relationships/hyperlink" Target="https://en.wikipedia.org/wiki/1932_United_States_presidential_election_in_Idaho" TargetMode="External"/><Relationship Id="rId19" Type="http://schemas.openxmlformats.org/officeDocument/2006/relationships/hyperlink" Target="https://en.wikipedia.org/wiki/1932_United_States_presidential_election_in_Massachusetts" TargetMode="External"/><Relationship Id="rId31" Type="http://schemas.openxmlformats.org/officeDocument/2006/relationships/hyperlink" Target="https://en.wikipedia.org/wiki/1932_United_States_presidential_election_in_North_Carolina" TargetMode="External"/><Relationship Id="rId44" Type="http://schemas.openxmlformats.org/officeDocument/2006/relationships/hyperlink" Target="https://en.wikipedia.org/wiki/1932_United_States_presidential_election_in_Virginia" TargetMode="External"/><Relationship Id="rId4" Type="http://schemas.openxmlformats.org/officeDocument/2006/relationships/hyperlink" Target="https://en.wikipedia.org/wiki/1932_United_States_presidential_election_in_California" TargetMode="External"/><Relationship Id="rId9" Type="http://schemas.openxmlformats.org/officeDocument/2006/relationships/hyperlink" Target="https://en.wikipedia.org/wiki/1932_United_States_presidential_election_in_Georgia" TargetMode="External"/><Relationship Id="rId14" Type="http://schemas.openxmlformats.org/officeDocument/2006/relationships/hyperlink" Target="https://en.wikipedia.org/wiki/1932_United_States_presidential_election_in_Kansas" TargetMode="External"/><Relationship Id="rId22" Type="http://schemas.openxmlformats.org/officeDocument/2006/relationships/hyperlink" Target="https://en.wikipedia.org/wiki/1932_United_States_presidential_election_in_Mississippi" TargetMode="External"/><Relationship Id="rId27" Type="http://schemas.openxmlformats.org/officeDocument/2006/relationships/hyperlink" Target="https://en.wikipedia.org/wiki/1932_United_States_presidential_election_in_New_Hampshire" TargetMode="External"/><Relationship Id="rId30" Type="http://schemas.openxmlformats.org/officeDocument/2006/relationships/hyperlink" Target="https://en.wikipedia.org/wiki/1932_United_States_presidential_election_in_New_York" TargetMode="External"/><Relationship Id="rId35" Type="http://schemas.openxmlformats.org/officeDocument/2006/relationships/hyperlink" Target="https://en.wikipedia.org/wiki/1932_United_States_presidential_election_in_Oregon" TargetMode="External"/><Relationship Id="rId43" Type="http://schemas.openxmlformats.org/officeDocument/2006/relationships/hyperlink" Target="https://en.wikipedia.org/wiki/1932_United_States_presidential_election_in_Vermont" TargetMode="External"/><Relationship Id="rId48" Type="http://schemas.openxmlformats.org/officeDocument/2006/relationships/hyperlink" Target="https://en.wikipedia.org/wiki/1932_United_States_presidential_election_in_Wyoming" TargetMode="External"/><Relationship Id="rId8" Type="http://schemas.openxmlformats.org/officeDocument/2006/relationships/hyperlink" Target="https://en.wikipedia.org/wiki/1932_United_States_presidential_election_in_Florida" TargetMode="External"/><Relationship Id="rId3" Type="http://schemas.openxmlformats.org/officeDocument/2006/relationships/hyperlink" Target="https://en.wikipedia.org/wiki/1932_United_States_presidential_election_in_Arkansas" TargetMode="External"/><Relationship Id="rId12" Type="http://schemas.openxmlformats.org/officeDocument/2006/relationships/hyperlink" Target="https://en.wikipedia.org/wiki/1932_United_States_presidential_election_in_Indiana" TargetMode="External"/><Relationship Id="rId17" Type="http://schemas.openxmlformats.org/officeDocument/2006/relationships/hyperlink" Target="https://en.wikipedia.org/wiki/1932_United_States_presidential_election_in_Maine" TargetMode="External"/><Relationship Id="rId25" Type="http://schemas.openxmlformats.org/officeDocument/2006/relationships/hyperlink" Target="https://en.wikipedia.org/wiki/1932_United_States_presidential_election_in_Nebraska" TargetMode="External"/><Relationship Id="rId33" Type="http://schemas.openxmlformats.org/officeDocument/2006/relationships/hyperlink" Target="https://en.wikipedia.org/wiki/1932_United_States_presidential_election_in_Ohio" TargetMode="External"/><Relationship Id="rId38" Type="http://schemas.openxmlformats.org/officeDocument/2006/relationships/hyperlink" Target="https://en.wikipedia.org/wiki/1932_United_States_presidential_election_in_South_Carolina" TargetMode="External"/><Relationship Id="rId46" Type="http://schemas.openxmlformats.org/officeDocument/2006/relationships/hyperlink" Target="https://en.wikipedia.org/wiki/1932_United_States_presidential_election_in_West_Virginia" TargetMode="External"/><Relationship Id="rId20" Type="http://schemas.openxmlformats.org/officeDocument/2006/relationships/hyperlink" Target="https://en.wikipedia.org/wiki/1932_United_States_presidential_election_in_Michigan" TargetMode="External"/><Relationship Id="rId41" Type="http://schemas.openxmlformats.org/officeDocument/2006/relationships/hyperlink" Target="https://en.wikipedia.org/wiki/1932_United_States_presidential_election_in_Texa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6_United_States_presidential_election_in_Kansas" TargetMode="External"/><Relationship Id="rId18" Type="http://schemas.openxmlformats.org/officeDocument/2006/relationships/hyperlink" Target="https://en.wikipedia.org/wiki/1936_United_States_presidential_election_in_Massachusetts" TargetMode="External"/><Relationship Id="rId26" Type="http://schemas.openxmlformats.org/officeDocument/2006/relationships/hyperlink" Target="https://en.wikipedia.org/wiki/1936_United_States_presidential_election_in_New_Hampshire" TargetMode="External"/><Relationship Id="rId39" Type="http://schemas.openxmlformats.org/officeDocument/2006/relationships/hyperlink" Target="https://en.wikipedia.org/wiki/1936_United_States_presidential_election_in_Tennessee" TargetMode="External"/><Relationship Id="rId21" Type="http://schemas.openxmlformats.org/officeDocument/2006/relationships/hyperlink" Target="https://en.wikipedia.org/wiki/1936_United_States_presidential_election_in_Mississippi" TargetMode="External"/><Relationship Id="rId34" Type="http://schemas.openxmlformats.org/officeDocument/2006/relationships/hyperlink" Target="https://en.wikipedia.org/wiki/1936_United_States_presidential_election_in_Oregon" TargetMode="External"/><Relationship Id="rId42" Type="http://schemas.openxmlformats.org/officeDocument/2006/relationships/hyperlink" Target="https://en.wikipedia.org/wiki/1936_United_States_presidential_election_in_Vermont" TargetMode="External"/><Relationship Id="rId47" Type="http://schemas.openxmlformats.org/officeDocument/2006/relationships/hyperlink" Target="https://en.wikipedia.org/wiki/1936_United_States_presidential_election_in_Wyoming" TargetMode="External"/><Relationship Id="rId50" Type="http://schemas.openxmlformats.org/officeDocument/2006/relationships/comments" Target="../comments2.xml"/><Relationship Id="rId7" Type="http://schemas.openxmlformats.org/officeDocument/2006/relationships/hyperlink" Target="https://en.wikipedia.org/wiki/1936_United_States_presidential_election_in_Florida" TargetMode="External"/><Relationship Id="rId2" Type="http://schemas.openxmlformats.org/officeDocument/2006/relationships/hyperlink" Target="https://en.wikipedia.org/wiki/1936_United_States_presidential_election_in_Arizona" TargetMode="External"/><Relationship Id="rId16" Type="http://schemas.openxmlformats.org/officeDocument/2006/relationships/hyperlink" Target="https://en.wikipedia.org/wiki/1936_United_States_presidential_election_in_Maine" TargetMode="External"/><Relationship Id="rId29" Type="http://schemas.openxmlformats.org/officeDocument/2006/relationships/hyperlink" Target="https://en.wikipedia.org/wiki/1936_United_States_presidential_election_in_New_York" TargetMode="External"/><Relationship Id="rId11" Type="http://schemas.openxmlformats.org/officeDocument/2006/relationships/hyperlink" Target="https://en.wikipedia.org/wiki/1936_United_States_presidential_election_in_Indiana" TargetMode="External"/><Relationship Id="rId24" Type="http://schemas.openxmlformats.org/officeDocument/2006/relationships/hyperlink" Target="https://en.wikipedia.org/wiki/1936_United_States_presidential_election_in_Nebraska" TargetMode="External"/><Relationship Id="rId32" Type="http://schemas.openxmlformats.org/officeDocument/2006/relationships/hyperlink" Target="https://en.wikipedia.org/wiki/1936_United_States_presidential_election_in_Ohio" TargetMode="External"/><Relationship Id="rId37" Type="http://schemas.openxmlformats.org/officeDocument/2006/relationships/hyperlink" Target="https://en.wikipedia.org/wiki/1936_United_States_presidential_election_in_South_Carolina" TargetMode="External"/><Relationship Id="rId40" Type="http://schemas.openxmlformats.org/officeDocument/2006/relationships/hyperlink" Target="https://en.wikipedia.org/wiki/1936_United_States_presidential_election_in_Texas" TargetMode="External"/><Relationship Id="rId45" Type="http://schemas.openxmlformats.org/officeDocument/2006/relationships/hyperlink" Target="https://en.wikipedia.org/wiki/1936_United_States_presidential_election_in_West_Virginia" TargetMode="External"/><Relationship Id="rId5" Type="http://schemas.openxmlformats.org/officeDocument/2006/relationships/hyperlink" Target="https://en.wikipedia.org/wiki/1936_United_States_presidential_election_in_Colorado" TargetMode="External"/><Relationship Id="rId15" Type="http://schemas.openxmlformats.org/officeDocument/2006/relationships/hyperlink" Target="https://en.wikipedia.org/wiki/1936_United_States_presidential_election_in_Louisiana" TargetMode="External"/><Relationship Id="rId23" Type="http://schemas.openxmlformats.org/officeDocument/2006/relationships/hyperlink" Target="https://en.wikipedia.org/wiki/1936_United_States_presidential_election_in_Montana" TargetMode="External"/><Relationship Id="rId28" Type="http://schemas.openxmlformats.org/officeDocument/2006/relationships/hyperlink" Target="https://en.wikipedia.org/wiki/1936_United_States_presidential_election_in_New_Mexico" TargetMode="External"/><Relationship Id="rId36" Type="http://schemas.openxmlformats.org/officeDocument/2006/relationships/hyperlink" Target="https://en.wikipedia.org/wiki/1936_United_States_presidential_election_in_Rhode_Island" TargetMode="External"/><Relationship Id="rId49" Type="http://schemas.openxmlformats.org/officeDocument/2006/relationships/vmlDrawing" Target="../drawings/vmlDrawing2.vml"/><Relationship Id="rId10" Type="http://schemas.openxmlformats.org/officeDocument/2006/relationships/hyperlink" Target="https://en.wikipedia.org/wiki/1936_United_States_presidential_election_in_Illinois" TargetMode="External"/><Relationship Id="rId19" Type="http://schemas.openxmlformats.org/officeDocument/2006/relationships/hyperlink" Target="https://en.wikipedia.org/wiki/1936_United_States_presidential_election_in_Michigan" TargetMode="External"/><Relationship Id="rId31" Type="http://schemas.openxmlformats.org/officeDocument/2006/relationships/hyperlink" Target="https://en.wikipedia.org/wiki/1936_United_States_presidential_election_in_North_Dakota" TargetMode="External"/><Relationship Id="rId44" Type="http://schemas.openxmlformats.org/officeDocument/2006/relationships/hyperlink" Target="https://en.wikipedia.org/wiki/1936_United_States_presidential_election_in_Washington_(state)" TargetMode="External"/><Relationship Id="rId4" Type="http://schemas.openxmlformats.org/officeDocument/2006/relationships/hyperlink" Target="https://en.wikipedia.org/wiki/1936_United_States_presidential_election_in_California" TargetMode="External"/><Relationship Id="rId9" Type="http://schemas.openxmlformats.org/officeDocument/2006/relationships/hyperlink" Target="https://en.wikipedia.org/wiki/1936_United_States_presidential_election_in_Idaho" TargetMode="External"/><Relationship Id="rId14" Type="http://schemas.openxmlformats.org/officeDocument/2006/relationships/hyperlink" Target="https://en.wikipedia.org/wiki/1936_United_States_presidential_election_in_Kentucky" TargetMode="External"/><Relationship Id="rId22" Type="http://schemas.openxmlformats.org/officeDocument/2006/relationships/hyperlink" Target="https://en.wikipedia.org/wiki/1936_United_States_presidential_election_in_Missouri" TargetMode="External"/><Relationship Id="rId27" Type="http://schemas.openxmlformats.org/officeDocument/2006/relationships/hyperlink" Target="https://en.wikipedia.org/wiki/1936_United_States_presidential_election_in_New_Jersey" TargetMode="External"/><Relationship Id="rId30" Type="http://schemas.openxmlformats.org/officeDocument/2006/relationships/hyperlink" Target="https://en.wikipedia.org/wiki/1936_United_States_presidential_election_in_North_Carolina" TargetMode="External"/><Relationship Id="rId35" Type="http://schemas.openxmlformats.org/officeDocument/2006/relationships/hyperlink" Target="https://en.wikipedia.org/wiki/1936_United_States_presidential_election_in_Pennsylvania" TargetMode="External"/><Relationship Id="rId43" Type="http://schemas.openxmlformats.org/officeDocument/2006/relationships/hyperlink" Target="https://en.wikipedia.org/wiki/1936_United_States_presidential_election_in_Virginia" TargetMode="External"/><Relationship Id="rId48" Type="http://schemas.openxmlformats.org/officeDocument/2006/relationships/hyperlink" Target="https://en.wikipedia.org/wiki/1936_United_States_presidential_election_in_Delaware" TargetMode="External"/><Relationship Id="rId8" Type="http://schemas.openxmlformats.org/officeDocument/2006/relationships/hyperlink" Target="https://en.wikipedia.org/wiki/1936_United_States_presidential_election_in_Georgia" TargetMode="External"/><Relationship Id="rId51" Type="http://schemas.microsoft.com/office/2017/10/relationships/threadedComment" Target="../threadedComments/threadedComment2.xml"/><Relationship Id="rId3" Type="http://schemas.openxmlformats.org/officeDocument/2006/relationships/hyperlink" Target="https://en.wikipedia.org/wiki/1936_United_States_presidential_election_in_Arkansas" TargetMode="External"/><Relationship Id="rId12" Type="http://schemas.openxmlformats.org/officeDocument/2006/relationships/hyperlink" Target="https://en.wikipedia.org/wiki/1936_United_States_presidential_election_in_Iowa" TargetMode="External"/><Relationship Id="rId17" Type="http://schemas.openxmlformats.org/officeDocument/2006/relationships/hyperlink" Target="https://en.wikipedia.org/wiki/1936_United_States_presidential_election_in_Maryland" TargetMode="External"/><Relationship Id="rId25" Type="http://schemas.openxmlformats.org/officeDocument/2006/relationships/hyperlink" Target="https://en.wikipedia.org/wiki/1936_United_States_presidential_election_in_Nevada" TargetMode="External"/><Relationship Id="rId33" Type="http://schemas.openxmlformats.org/officeDocument/2006/relationships/hyperlink" Target="https://en.wikipedia.org/wiki/1936_United_States_presidential_election_in_Oklahoma" TargetMode="External"/><Relationship Id="rId38" Type="http://schemas.openxmlformats.org/officeDocument/2006/relationships/hyperlink" Target="https://en.wikipedia.org/wiki/1936_United_States_presidential_election_in_South_Dakota" TargetMode="External"/><Relationship Id="rId46" Type="http://schemas.openxmlformats.org/officeDocument/2006/relationships/hyperlink" Target="https://en.wikipedia.org/wiki/1936_United_States_presidential_election_in_Wisconsin" TargetMode="External"/><Relationship Id="rId20" Type="http://schemas.openxmlformats.org/officeDocument/2006/relationships/hyperlink" Target="https://en.wikipedia.org/wiki/1936_United_States_presidential_election_in_Minnesota" TargetMode="External"/><Relationship Id="rId41" Type="http://schemas.openxmlformats.org/officeDocument/2006/relationships/hyperlink" Target="https://en.wikipedia.org/wiki/1936_United_States_presidential_election_in_Utah" TargetMode="External"/><Relationship Id="rId1" Type="http://schemas.openxmlformats.org/officeDocument/2006/relationships/hyperlink" Target="https://en.wikipedia.org/wiki/1936_United_States_presidential_election_in_Alabama" TargetMode="External"/><Relationship Id="rId6" Type="http://schemas.openxmlformats.org/officeDocument/2006/relationships/hyperlink" Target="https://en.wikipedia.org/wiki/1936_United_States_presidential_election_in_Connectic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C38C-06CA-4672-BE03-C33DD2113F03}">
  <dimension ref="A1:AT57"/>
  <sheetViews>
    <sheetView tabSelected="1" workbookViewId="0">
      <pane xSplit="1" ySplit="1" topLeftCell="B2" activePane="bottomRight" state="frozen"/>
      <selection pane="bottomRight" activeCell="AJ1" sqref="AJ1"/>
      <selection pane="bottomLeft" activeCell="A2" sqref="A2"/>
      <selection pane="topRight" activeCell="B1" sqref="B1"/>
    </sheetView>
  </sheetViews>
  <sheetFormatPr defaultColWidth="8.85546875" defaultRowHeight="15"/>
  <cols>
    <col min="2" max="2" width="13.42578125" customWidth="1"/>
    <col min="11" max="11" width="10.140625" customWidth="1"/>
    <col min="13" max="13" width="21" customWidth="1"/>
    <col min="14" max="14" width="8.85546875" customWidth="1"/>
    <col min="15" max="15" width="10.42578125" customWidth="1"/>
    <col min="16" max="16" width="7.42578125" customWidth="1"/>
    <col min="18" max="18" width="6.42578125" bestFit="1" customWidth="1"/>
    <col min="19" max="19" width="8" bestFit="1" customWidth="1"/>
    <col min="22" max="22" width="31.28515625" bestFit="1" customWidth="1"/>
    <col min="23" max="23" width="7.42578125" customWidth="1"/>
    <col min="24" max="24" width="11.42578125" bestFit="1" customWidth="1"/>
    <col min="25" max="25" width="6.42578125" customWidth="1"/>
    <col min="26" max="26" width="6.42578125" bestFit="1" customWidth="1"/>
    <col min="27" max="27" width="10.7109375" customWidth="1"/>
    <col min="42" max="42" width="24.7109375" customWidth="1"/>
    <col min="44" max="44" width="10.140625" customWidth="1"/>
  </cols>
  <sheetData>
    <row r="1" spans="1:46" ht="39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V1" s="24" t="s">
        <v>19</v>
      </c>
      <c r="W1" s="24" t="s">
        <v>20</v>
      </c>
      <c r="X1" s="24" t="s">
        <v>21</v>
      </c>
      <c r="Y1" s="24" t="s">
        <v>22</v>
      </c>
      <c r="Z1" s="24" t="s">
        <v>20</v>
      </c>
      <c r="AA1" s="24" t="s">
        <v>23</v>
      </c>
      <c r="AB1" s="24" t="s">
        <v>22</v>
      </c>
      <c r="AC1" s="24" t="s">
        <v>20</v>
      </c>
      <c r="AD1" s="24" t="s">
        <v>24</v>
      </c>
      <c r="AE1" s="24" t="s">
        <v>22</v>
      </c>
      <c r="AF1" s="24" t="s">
        <v>20</v>
      </c>
      <c r="AG1" s="24" t="s">
        <v>25</v>
      </c>
      <c r="AH1" s="24" t="s">
        <v>22</v>
      </c>
      <c r="AI1" s="24" t="s">
        <v>20</v>
      </c>
      <c r="AJ1" s="24" t="s">
        <v>26</v>
      </c>
      <c r="AK1" s="24" t="s">
        <v>22</v>
      </c>
      <c r="AL1" s="24" t="s">
        <v>20</v>
      </c>
      <c r="AM1" s="24" t="s">
        <v>27</v>
      </c>
      <c r="AN1" s="24" t="s">
        <v>22</v>
      </c>
      <c r="AO1" s="24" t="s">
        <v>20</v>
      </c>
      <c r="AP1" s="24" t="s">
        <v>28</v>
      </c>
      <c r="AQ1" s="24" t="s">
        <v>22</v>
      </c>
      <c r="AR1" s="24" t="s">
        <v>29</v>
      </c>
      <c r="AS1" s="24"/>
      <c r="AT1" t="s">
        <v>30</v>
      </c>
    </row>
    <row r="2" spans="1:46" ht="15.75" thickBot="1">
      <c r="A2" t="s">
        <v>31</v>
      </c>
      <c r="B2">
        <v>12</v>
      </c>
      <c r="C2" s="1">
        <v>5752</v>
      </c>
      <c r="D2" s="1">
        <v>12186</v>
      </c>
      <c r="E2" s="1">
        <v>1668</v>
      </c>
      <c r="F2">
        <v>10</v>
      </c>
      <c r="G2">
        <v>18</v>
      </c>
      <c r="H2">
        <v>150</v>
      </c>
      <c r="I2">
        <v>9</v>
      </c>
      <c r="J2">
        <v>14</v>
      </c>
      <c r="K2" s="1">
        <v>19807</v>
      </c>
      <c r="L2" s="59"/>
      <c r="M2" t="s">
        <v>31</v>
      </c>
      <c r="N2" s="20">
        <v>3943</v>
      </c>
      <c r="O2" s="20">
        <v>12081</v>
      </c>
      <c r="P2" s="21">
        <v>39</v>
      </c>
      <c r="Q2" s="21">
        <v>1</v>
      </c>
      <c r="R2" s="21">
        <v>8</v>
      </c>
      <c r="S2" s="20">
        <v>3735</v>
      </c>
      <c r="T2" s="20">
        <f>SUM(N2:S2)</f>
        <v>19807</v>
      </c>
      <c r="U2" s="20"/>
      <c r="V2" s="5" t="s">
        <v>31</v>
      </c>
      <c r="W2" s="6">
        <v>12</v>
      </c>
      <c r="X2" s="45">
        <v>45005</v>
      </c>
      <c r="Y2" s="8">
        <v>27.01</v>
      </c>
      <c r="Z2" s="8" t="s">
        <v>32</v>
      </c>
      <c r="AA2" s="45">
        <v>112966</v>
      </c>
      <c r="AB2" s="8">
        <v>67.81</v>
      </c>
      <c r="AC2" s="8">
        <v>12</v>
      </c>
      <c r="AD2" s="7">
        <v>8084</v>
      </c>
      <c r="AE2" s="8">
        <v>4.8499999999999996</v>
      </c>
      <c r="AF2" s="8" t="s">
        <v>32</v>
      </c>
      <c r="AG2" s="8">
        <v>538</v>
      </c>
      <c r="AH2" s="8">
        <v>0.32</v>
      </c>
      <c r="AI2" s="8" t="s">
        <v>32</v>
      </c>
      <c r="AJ2" s="8" t="s">
        <v>32</v>
      </c>
      <c r="AK2" s="8" t="s">
        <v>32</v>
      </c>
      <c r="AL2" s="8" t="s">
        <v>32</v>
      </c>
      <c r="AM2" s="8" t="s">
        <v>32</v>
      </c>
      <c r="AN2" s="8" t="s">
        <v>32</v>
      </c>
      <c r="AO2" s="8" t="s">
        <v>32</v>
      </c>
      <c r="AP2" s="7">
        <v>-67961</v>
      </c>
      <c r="AQ2" s="8">
        <v>-40.79</v>
      </c>
      <c r="AR2" s="7">
        <v>166593</v>
      </c>
      <c r="AS2" s="6" t="s">
        <v>33</v>
      </c>
    </row>
    <row r="3" spans="1:46" ht="15.75" thickBot="1">
      <c r="A3" t="s">
        <v>34</v>
      </c>
      <c r="B3">
        <v>3</v>
      </c>
      <c r="C3" s="1">
        <v>4272</v>
      </c>
      <c r="D3" s="1">
        <v>2005</v>
      </c>
      <c r="E3" s="1">
        <v>2230</v>
      </c>
      <c r="F3">
        <v>5</v>
      </c>
      <c r="G3">
        <v>10</v>
      </c>
      <c r="H3">
        <v>47</v>
      </c>
      <c r="I3">
        <v>4</v>
      </c>
      <c r="J3">
        <v>20</v>
      </c>
      <c r="K3" s="1">
        <v>8593</v>
      </c>
      <c r="L3" s="59"/>
      <c r="M3" t="s">
        <v>34</v>
      </c>
      <c r="N3" s="20">
        <v>3978</v>
      </c>
      <c r="O3" s="20">
        <v>2966</v>
      </c>
      <c r="P3" s="21">
        <v>41</v>
      </c>
      <c r="Q3" s="21">
        <v>8</v>
      </c>
      <c r="R3" s="21">
        <v>13</v>
      </c>
      <c r="S3" s="20">
        <v>1587</v>
      </c>
      <c r="T3" s="20">
        <f t="shared" ref="T3:T52" si="0">SUM(N3:S3)</f>
        <v>8593</v>
      </c>
      <c r="U3" s="20"/>
      <c r="V3" s="9" t="s">
        <v>34</v>
      </c>
      <c r="W3" s="10">
        <v>3</v>
      </c>
      <c r="X3" s="46">
        <v>30516</v>
      </c>
      <c r="Y3" s="12">
        <v>41.26</v>
      </c>
      <c r="Z3" s="12">
        <v>3</v>
      </c>
      <c r="AA3" s="46">
        <v>26235</v>
      </c>
      <c r="AB3" s="12">
        <v>35.47</v>
      </c>
      <c r="AC3" s="12" t="s">
        <v>32</v>
      </c>
      <c r="AD3" s="11">
        <v>17210</v>
      </c>
      <c r="AE3" s="12">
        <v>23.27</v>
      </c>
      <c r="AF3" s="12" t="s">
        <v>32</v>
      </c>
      <c r="AG3" s="12" t="s">
        <v>32</v>
      </c>
      <c r="AH3" s="12" t="s">
        <v>32</v>
      </c>
      <c r="AI3" s="12" t="s">
        <v>32</v>
      </c>
      <c r="AJ3" s="12" t="s">
        <v>32</v>
      </c>
      <c r="AK3" s="12" t="s">
        <v>32</v>
      </c>
      <c r="AL3" s="12" t="s">
        <v>32</v>
      </c>
      <c r="AM3" s="12" t="s">
        <v>32</v>
      </c>
      <c r="AN3" s="12" t="s">
        <v>32</v>
      </c>
      <c r="AO3" s="12" t="s">
        <v>32</v>
      </c>
      <c r="AP3" s="11">
        <v>4281</v>
      </c>
      <c r="AQ3" s="12">
        <v>5.79</v>
      </c>
      <c r="AR3" s="11">
        <v>73961</v>
      </c>
      <c r="AS3" s="10" t="s">
        <v>35</v>
      </c>
    </row>
    <row r="4" spans="1:46" ht="15.75" thickBot="1">
      <c r="A4" t="s">
        <v>36</v>
      </c>
      <c r="B4">
        <v>9</v>
      </c>
      <c r="C4" s="1">
        <v>5818</v>
      </c>
      <c r="D4" s="1">
        <v>11210</v>
      </c>
      <c r="E4" s="1">
        <v>2016</v>
      </c>
      <c r="F4">
        <v>11</v>
      </c>
      <c r="G4">
        <v>14</v>
      </c>
      <c r="H4">
        <v>76</v>
      </c>
      <c r="I4">
        <v>5</v>
      </c>
      <c r="J4">
        <v>7</v>
      </c>
      <c r="K4" s="1">
        <v>19157</v>
      </c>
      <c r="L4" s="59"/>
      <c r="M4" t="s">
        <v>36</v>
      </c>
      <c r="N4" s="20">
        <v>4534</v>
      </c>
      <c r="O4" s="20">
        <v>11266</v>
      </c>
      <c r="P4" s="21">
        <v>64</v>
      </c>
      <c r="Q4" s="21">
        <v>4</v>
      </c>
      <c r="R4" s="21">
        <v>3</v>
      </c>
      <c r="S4" s="20">
        <v>3286</v>
      </c>
      <c r="T4" s="20">
        <f t="shared" si="0"/>
        <v>19157</v>
      </c>
      <c r="U4" s="20"/>
      <c r="V4" s="5" t="s">
        <v>36</v>
      </c>
      <c r="W4" s="6">
        <v>9</v>
      </c>
      <c r="X4" s="45">
        <v>40564</v>
      </c>
      <c r="Y4" s="8">
        <v>29.28</v>
      </c>
      <c r="Z4" s="8" t="s">
        <v>32</v>
      </c>
      <c r="AA4" s="45">
        <v>84795</v>
      </c>
      <c r="AB4" s="8">
        <v>61.21</v>
      </c>
      <c r="AC4" s="8">
        <v>9</v>
      </c>
      <c r="AD4" s="7">
        <v>13173</v>
      </c>
      <c r="AE4" s="8">
        <v>9.51</v>
      </c>
      <c r="AF4" s="8" t="s">
        <v>32</v>
      </c>
      <c r="AG4" s="8" t="s">
        <v>32</v>
      </c>
      <c r="AH4" s="8" t="s">
        <v>32</v>
      </c>
      <c r="AI4" s="8" t="s">
        <v>32</v>
      </c>
      <c r="AJ4" s="8" t="s">
        <v>32</v>
      </c>
      <c r="AK4" s="8" t="s">
        <v>32</v>
      </c>
      <c r="AL4" s="8" t="s">
        <v>32</v>
      </c>
      <c r="AM4" s="8" t="s">
        <v>32</v>
      </c>
      <c r="AN4" s="8" t="s">
        <v>32</v>
      </c>
      <c r="AO4" s="8" t="s">
        <v>32</v>
      </c>
      <c r="AP4" s="7">
        <v>-44231</v>
      </c>
      <c r="AQ4" s="8">
        <v>-31.93</v>
      </c>
      <c r="AR4" s="7">
        <v>138532</v>
      </c>
      <c r="AS4" s="6" t="s">
        <v>37</v>
      </c>
    </row>
    <row r="5" spans="1:46" ht="15.75" thickBot="1">
      <c r="A5" t="s">
        <v>38</v>
      </c>
      <c r="B5">
        <v>13</v>
      </c>
      <c r="C5" s="1">
        <v>76730</v>
      </c>
      <c r="D5" s="1">
        <v>10280</v>
      </c>
      <c r="E5" s="1">
        <v>65169</v>
      </c>
      <c r="F5">
        <v>215</v>
      </c>
      <c r="G5">
        <v>384</v>
      </c>
      <c r="H5">
        <v>845</v>
      </c>
      <c r="I5">
        <v>84</v>
      </c>
      <c r="J5">
        <v>541</v>
      </c>
      <c r="K5" s="1">
        <v>154248</v>
      </c>
      <c r="L5" s="1"/>
      <c r="M5" t="s">
        <v>38</v>
      </c>
      <c r="N5" s="20">
        <v>92052</v>
      </c>
      <c r="O5" s="20">
        <v>25214</v>
      </c>
      <c r="P5" s="20">
        <v>2139</v>
      </c>
      <c r="Q5" s="21">
        <v>88</v>
      </c>
      <c r="R5" s="21">
        <v>574</v>
      </c>
      <c r="S5" s="20">
        <v>34181</v>
      </c>
      <c r="T5" s="20">
        <f t="shared" si="0"/>
        <v>154248</v>
      </c>
      <c r="U5" s="20"/>
      <c r="V5" s="9" t="s">
        <v>38</v>
      </c>
      <c r="W5" s="10">
        <v>13</v>
      </c>
      <c r="X5" s="46">
        <v>733250</v>
      </c>
      <c r="Y5" s="12">
        <v>57.2</v>
      </c>
      <c r="Z5" s="12">
        <v>13</v>
      </c>
      <c r="AA5" s="46">
        <v>105514</v>
      </c>
      <c r="AB5" s="12">
        <v>8.23</v>
      </c>
      <c r="AC5" s="12" t="s">
        <v>32</v>
      </c>
      <c r="AD5" s="11">
        <v>424649</v>
      </c>
      <c r="AE5" s="12">
        <v>33.130000000000003</v>
      </c>
      <c r="AF5" s="12" t="s">
        <v>32</v>
      </c>
      <c r="AG5" s="11">
        <v>18365</v>
      </c>
      <c r="AH5" s="12">
        <v>1.43</v>
      </c>
      <c r="AI5" s="12" t="s">
        <v>32</v>
      </c>
      <c r="AJ5" s="12" t="s">
        <v>32</v>
      </c>
      <c r="AK5" s="12" t="s">
        <v>32</v>
      </c>
      <c r="AL5" s="12" t="s">
        <v>32</v>
      </c>
      <c r="AM5" s="12" t="s">
        <v>32</v>
      </c>
      <c r="AN5" s="12" t="s">
        <v>32</v>
      </c>
      <c r="AO5" s="12" t="s">
        <v>32</v>
      </c>
      <c r="AP5" s="11">
        <v>308601</v>
      </c>
      <c r="AQ5" s="12">
        <v>24.07</v>
      </c>
      <c r="AR5" s="11">
        <v>1281900</v>
      </c>
      <c r="AS5" s="10" t="s">
        <v>39</v>
      </c>
    </row>
    <row r="6" spans="1:46" ht="15.75" thickBot="1">
      <c r="A6" t="s">
        <v>40</v>
      </c>
      <c r="B6">
        <v>6</v>
      </c>
      <c r="C6" s="1">
        <v>19225</v>
      </c>
      <c r="D6" s="1">
        <v>4711</v>
      </c>
      <c r="E6" s="1">
        <v>6156</v>
      </c>
      <c r="F6">
        <v>24</v>
      </c>
      <c r="G6">
        <v>65</v>
      </c>
      <c r="H6">
        <v>148</v>
      </c>
      <c r="I6">
        <v>16</v>
      </c>
      <c r="J6">
        <v>119</v>
      </c>
      <c r="K6" s="1">
        <v>30464</v>
      </c>
      <c r="L6" s="1"/>
      <c r="M6" t="s">
        <v>40</v>
      </c>
      <c r="N6" s="20">
        <v>17293</v>
      </c>
      <c r="O6" s="21">
        <v>6577</v>
      </c>
      <c r="P6" s="21">
        <v>182</v>
      </c>
      <c r="Q6" s="21">
        <v>34</v>
      </c>
      <c r="R6" s="21">
        <v>37</v>
      </c>
      <c r="S6" s="20">
        <v>6341</v>
      </c>
      <c r="T6" s="20">
        <f t="shared" si="0"/>
        <v>30464</v>
      </c>
      <c r="U6" s="20"/>
      <c r="V6" s="9" t="s">
        <v>40</v>
      </c>
      <c r="W6" s="10">
        <v>6</v>
      </c>
      <c r="X6" s="46">
        <v>195171</v>
      </c>
      <c r="Y6" s="12">
        <v>57.02</v>
      </c>
      <c r="Z6" s="12">
        <v>6</v>
      </c>
      <c r="AA6" s="46">
        <v>75238</v>
      </c>
      <c r="AB6" s="12">
        <v>21.98</v>
      </c>
      <c r="AC6" s="12" t="s">
        <v>32</v>
      </c>
      <c r="AD6" s="11">
        <v>69945</v>
      </c>
      <c r="AE6" s="12">
        <v>20.440000000000001</v>
      </c>
      <c r="AF6" s="12" t="s">
        <v>32</v>
      </c>
      <c r="AG6" s="12">
        <v>966</v>
      </c>
      <c r="AH6" s="12">
        <v>0.28000000000000003</v>
      </c>
      <c r="AI6" s="12" t="s">
        <v>32</v>
      </c>
      <c r="AJ6" s="12">
        <v>562</v>
      </c>
      <c r="AK6" s="12">
        <v>0.16</v>
      </c>
      <c r="AL6" s="12" t="s">
        <v>32</v>
      </c>
      <c r="AM6" s="12">
        <v>378</v>
      </c>
      <c r="AN6" s="12">
        <v>0.11</v>
      </c>
      <c r="AO6" s="12" t="s">
        <v>32</v>
      </c>
      <c r="AP6" s="11">
        <v>119933</v>
      </c>
      <c r="AQ6" s="12">
        <v>35.04</v>
      </c>
      <c r="AR6" s="11">
        <v>342260</v>
      </c>
      <c r="AS6" s="10" t="s">
        <v>41</v>
      </c>
    </row>
    <row r="7" spans="1:46" ht="15.75" thickBot="1">
      <c r="A7" t="s">
        <v>42</v>
      </c>
      <c r="B7">
        <v>7</v>
      </c>
      <c r="C7" s="1">
        <v>25635</v>
      </c>
      <c r="D7" s="1">
        <v>3856</v>
      </c>
      <c r="E7" s="1">
        <v>4695</v>
      </c>
      <c r="F7">
        <v>49</v>
      </c>
      <c r="G7">
        <v>62</v>
      </c>
      <c r="H7">
        <v>47</v>
      </c>
      <c r="I7">
        <v>16</v>
      </c>
      <c r="J7">
        <v>56</v>
      </c>
      <c r="K7" s="1">
        <v>34416</v>
      </c>
      <c r="L7" s="1"/>
      <c r="M7" t="s">
        <v>42</v>
      </c>
      <c r="N7" s="20">
        <v>23972</v>
      </c>
      <c r="O7" s="21">
        <v>4347</v>
      </c>
      <c r="P7" s="21">
        <v>188</v>
      </c>
      <c r="Q7" s="21">
        <v>28</v>
      </c>
      <c r="R7" s="21">
        <v>46</v>
      </c>
      <c r="S7" s="20">
        <v>5835</v>
      </c>
      <c r="T7" s="20">
        <f t="shared" si="0"/>
        <v>34416</v>
      </c>
      <c r="U7" s="20"/>
      <c r="V7" s="9" t="s">
        <v>42</v>
      </c>
      <c r="W7" s="10">
        <v>7</v>
      </c>
      <c r="X7" s="46">
        <v>246322</v>
      </c>
      <c r="Y7" s="12">
        <v>61.54</v>
      </c>
      <c r="Z7" s="12">
        <v>7</v>
      </c>
      <c r="AA7" s="46">
        <v>110184</v>
      </c>
      <c r="AB7" s="12">
        <v>27.53</v>
      </c>
      <c r="AC7" s="12" t="s">
        <v>32</v>
      </c>
      <c r="AD7" s="11">
        <v>42416</v>
      </c>
      <c r="AE7" s="12">
        <v>10.6</v>
      </c>
      <c r="AF7" s="12" t="s">
        <v>32</v>
      </c>
      <c r="AG7" s="12" t="s">
        <v>32</v>
      </c>
      <c r="AH7" s="12" t="s">
        <v>32</v>
      </c>
      <c r="AI7" s="12" t="s">
        <v>32</v>
      </c>
      <c r="AJ7" s="12" t="s">
        <v>32</v>
      </c>
      <c r="AK7" s="12" t="s">
        <v>32</v>
      </c>
      <c r="AL7" s="12" t="s">
        <v>32</v>
      </c>
      <c r="AM7" s="11">
        <v>1373</v>
      </c>
      <c r="AN7" s="12">
        <v>0.34</v>
      </c>
      <c r="AO7" s="12" t="s">
        <v>32</v>
      </c>
      <c r="AP7" s="11">
        <v>136138</v>
      </c>
      <c r="AQ7" s="12">
        <v>34.01</v>
      </c>
      <c r="AR7" s="11">
        <v>400295</v>
      </c>
      <c r="AS7" s="10" t="s">
        <v>43</v>
      </c>
    </row>
    <row r="8" spans="1:46" ht="15.75" thickBot="1">
      <c r="A8" t="s">
        <v>44</v>
      </c>
      <c r="B8">
        <v>3</v>
      </c>
      <c r="C8" s="1">
        <v>2911</v>
      </c>
      <c r="D8" s="1">
        <v>1362</v>
      </c>
      <c r="E8">
        <v>357</v>
      </c>
      <c r="F8">
        <v>1</v>
      </c>
      <c r="G8">
        <v>10</v>
      </c>
      <c r="H8">
        <v>12</v>
      </c>
      <c r="I8">
        <v>2</v>
      </c>
      <c r="J8">
        <v>5</v>
      </c>
      <c r="K8" s="1">
        <v>4660</v>
      </c>
      <c r="L8" s="1"/>
      <c r="M8" t="s">
        <v>44</v>
      </c>
      <c r="N8" s="20">
        <v>2636</v>
      </c>
      <c r="O8" s="20">
        <v>1182</v>
      </c>
      <c r="P8" s="21">
        <v>13</v>
      </c>
      <c r="Q8" s="21">
        <v>1</v>
      </c>
      <c r="R8" s="21">
        <v>3</v>
      </c>
      <c r="S8" s="21">
        <v>825</v>
      </c>
      <c r="T8" s="20">
        <f t="shared" si="0"/>
        <v>4660</v>
      </c>
      <c r="U8" s="20"/>
      <c r="V8" s="9" t="s">
        <v>44</v>
      </c>
      <c r="W8" s="10">
        <v>3</v>
      </c>
      <c r="X8" s="46">
        <v>52441</v>
      </c>
      <c r="Y8" s="12">
        <v>57.7</v>
      </c>
      <c r="Z8" s="12">
        <v>3</v>
      </c>
      <c r="AA8" s="46">
        <v>33445</v>
      </c>
      <c r="AB8" s="12">
        <v>36.799999999999997</v>
      </c>
      <c r="AC8" s="12" t="s">
        <v>32</v>
      </c>
      <c r="AD8" s="11">
        <v>4979</v>
      </c>
      <c r="AE8" s="12">
        <v>5.48</v>
      </c>
      <c r="AF8" s="12" t="s">
        <v>32</v>
      </c>
      <c r="AG8" s="12" t="s">
        <v>32</v>
      </c>
      <c r="AH8" s="12" t="s">
        <v>32</v>
      </c>
      <c r="AI8" s="12" t="s">
        <v>32</v>
      </c>
      <c r="AJ8" s="12" t="s">
        <v>32</v>
      </c>
      <c r="AK8" s="12" t="s">
        <v>32</v>
      </c>
      <c r="AL8" s="12" t="s">
        <v>32</v>
      </c>
      <c r="AM8" s="12" t="s">
        <v>32</v>
      </c>
      <c r="AN8" s="12" t="s">
        <v>32</v>
      </c>
      <c r="AO8" s="12" t="s">
        <v>32</v>
      </c>
      <c r="AP8" s="11">
        <v>18996</v>
      </c>
      <c r="AQ8" s="12">
        <v>20.9</v>
      </c>
      <c r="AR8" s="11">
        <v>90885</v>
      </c>
      <c r="AS8" s="10" t="s">
        <v>45</v>
      </c>
    </row>
    <row r="9" spans="1:46" ht="15.75" thickBot="1">
      <c r="A9" t="s">
        <v>46</v>
      </c>
      <c r="B9">
        <v>0</v>
      </c>
      <c r="C9" s="1">
        <v>4694</v>
      </c>
      <c r="D9" s="1">
        <v>1471</v>
      </c>
      <c r="E9" s="1">
        <v>1522</v>
      </c>
      <c r="F9" s="1">
        <v>1</v>
      </c>
      <c r="G9">
        <v>14</v>
      </c>
      <c r="H9">
        <v>74</v>
      </c>
      <c r="I9">
        <v>3</v>
      </c>
      <c r="J9">
        <v>9</v>
      </c>
      <c r="K9" s="1">
        <v>7788</v>
      </c>
      <c r="L9" s="1"/>
      <c r="M9" t="s">
        <v>46</v>
      </c>
      <c r="N9" s="20">
        <v>2718</v>
      </c>
      <c r="O9" s="20">
        <v>1060</v>
      </c>
      <c r="P9" s="21">
        <v>24</v>
      </c>
      <c r="Q9" s="21">
        <v>2</v>
      </c>
      <c r="R9" s="21">
        <v>3</v>
      </c>
      <c r="S9" s="20">
        <v>3981</v>
      </c>
      <c r="T9" s="20">
        <f t="shared" si="0"/>
        <v>7788</v>
      </c>
      <c r="U9" s="20"/>
      <c r="V9" s="5" t="s">
        <v>47</v>
      </c>
      <c r="W9" s="6">
        <v>6</v>
      </c>
      <c r="X9" s="45">
        <v>30633</v>
      </c>
      <c r="Y9" s="8">
        <v>28.06</v>
      </c>
      <c r="Z9" s="8" t="s">
        <v>32</v>
      </c>
      <c r="AA9" s="45">
        <v>62083</v>
      </c>
      <c r="AB9" s="8">
        <v>56.88</v>
      </c>
      <c r="AC9" s="8">
        <v>6</v>
      </c>
      <c r="AD9" s="7">
        <v>8625</v>
      </c>
      <c r="AE9" s="8">
        <v>7.9</v>
      </c>
      <c r="AF9" s="8" t="s">
        <v>32</v>
      </c>
      <c r="AG9" s="7">
        <v>5498</v>
      </c>
      <c r="AH9" s="8">
        <v>5.04</v>
      </c>
      <c r="AI9" s="8" t="s">
        <v>32</v>
      </c>
      <c r="AJ9" s="8" t="s">
        <v>32</v>
      </c>
      <c r="AK9" s="8" t="s">
        <v>32</v>
      </c>
      <c r="AL9" s="8" t="s">
        <v>32</v>
      </c>
      <c r="AM9" s="8" t="s">
        <v>32</v>
      </c>
      <c r="AN9" s="8" t="s">
        <v>32</v>
      </c>
      <c r="AO9" s="8" t="s">
        <v>32</v>
      </c>
      <c r="AP9" s="7">
        <v>-31450</v>
      </c>
      <c r="AQ9" s="8">
        <v>-28.81</v>
      </c>
      <c r="AR9" s="7">
        <v>109154</v>
      </c>
      <c r="AS9" s="6" t="s">
        <v>48</v>
      </c>
    </row>
    <row r="10" spans="1:46" ht="15.75" thickBot="1">
      <c r="A10" t="s">
        <v>47</v>
      </c>
      <c r="B10">
        <v>6</v>
      </c>
      <c r="C10" s="1">
        <v>7567</v>
      </c>
      <c r="D10" s="1">
        <v>9692</v>
      </c>
      <c r="E10" s="1">
        <v>2316</v>
      </c>
      <c r="F10">
        <v>26</v>
      </c>
      <c r="G10">
        <v>16</v>
      </c>
      <c r="H10">
        <v>321</v>
      </c>
      <c r="I10">
        <v>11</v>
      </c>
      <c r="J10">
        <v>22</v>
      </c>
      <c r="K10" s="1">
        <v>19971</v>
      </c>
      <c r="L10" s="1"/>
      <c r="M10" t="s">
        <v>47</v>
      </c>
      <c r="N10" s="20">
        <v>5151</v>
      </c>
      <c r="O10" s="20">
        <v>10729</v>
      </c>
      <c r="P10" s="21">
        <v>48</v>
      </c>
      <c r="Q10" s="21">
        <v>3</v>
      </c>
      <c r="R10" s="21">
        <v>21</v>
      </c>
      <c r="S10" s="20">
        <v>4019</v>
      </c>
      <c r="T10" s="20">
        <f t="shared" si="0"/>
        <v>19971</v>
      </c>
      <c r="U10" s="20"/>
      <c r="V10" s="5" t="s">
        <v>49</v>
      </c>
      <c r="W10" s="6">
        <v>14</v>
      </c>
      <c r="X10" s="45">
        <v>30300</v>
      </c>
      <c r="Y10" s="8">
        <v>18.190000000000001</v>
      </c>
      <c r="Z10" s="8" t="s">
        <v>32</v>
      </c>
      <c r="AA10" s="45">
        <v>123200</v>
      </c>
      <c r="AB10" s="8">
        <v>73.959999999999994</v>
      </c>
      <c r="AC10" s="8">
        <v>14</v>
      </c>
      <c r="AD10" s="7">
        <v>12691</v>
      </c>
      <c r="AE10" s="8">
        <v>7.62</v>
      </c>
      <c r="AF10" s="8" t="s">
        <v>32</v>
      </c>
      <c r="AG10" s="8">
        <v>231</v>
      </c>
      <c r="AH10" s="8">
        <v>0.14000000000000001</v>
      </c>
      <c r="AI10" s="8" t="s">
        <v>32</v>
      </c>
      <c r="AJ10" s="8" t="s">
        <v>32</v>
      </c>
      <c r="AK10" s="8" t="s">
        <v>32</v>
      </c>
      <c r="AL10" s="8" t="s">
        <v>32</v>
      </c>
      <c r="AM10" s="8" t="s">
        <v>32</v>
      </c>
      <c r="AN10" s="8" t="s">
        <v>32</v>
      </c>
      <c r="AO10" s="8" t="s">
        <v>32</v>
      </c>
      <c r="AP10" s="7">
        <v>-92900</v>
      </c>
      <c r="AQ10" s="8">
        <v>-55.77</v>
      </c>
      <c r="AR10" s="7">
        <v>166577</v>
      </c>
      <c r="AS10" s="6" t="s">
        <v>50</v>
      </c>
    </row>
    <row r="11" spans="1:46" ht="15.75" thickBot="1">
      <c r="A11" t="s">
        <v>49</v>
      </c>
      <c r="B11">
        <v>14</v>
      </c>
      <c r="C11" s="1">
        <v>5541</v>
      </c>
      <c r="D11" s="1">
        <v>17111</v>
      </c>
      <c r="E11" s="1">
        <v>2642</v>
      </c>
      <c r="F11">
        <v>12</v>
      </c>
      <c r="G11">
        <v>11</v>
      </c>
      <c r="H11">
        <v>31</v>
      </c>
      <c r="I11">
        <v>10</v>
      </c>
      <c r="J11">
        <v>14</v>
      </c>
      <c r="K11" s="1">
        <v>25372</v>
      </c>
      <c r="L11" s="1"/>
      <c r="M11" t="s">
        <v>49</v>
      </c>
      <c r="N11" s="20">
        <v>3553</v>
      </c>
      <c r="O11" s="20">
        <v>16978</v>
      </c>
      <c r="P11" s="21">
        <v>24</v>
      </c>
      <c r="Q11" s="21">
        <v>1</v>
      </c>
      <c r="R11" s="21">
        <v>8</v>
      </c>
      <c r="S11" s="20">
        <v>4808</v>
      </c>
      <c r="T11" s="20">
        <f t="shared" si="0"/>
        <v>25372</v>
      </c>
      <c r="U11" s="20"/>
      <c r="V11" s="9" t="s">
        <v>51</v>
      </c>
      <c r="W11" s="10">
        <v>4</v>
      </c>
      <c r="X11" s="46">
        <v>69879</v>
      </c>
      <c r="Y11" s="12">
        <v>47.12</v>
      </c>
      <c r="Z11" s="12">
        <v>4</v>
      </c>
      <c r="AA11" s="46">
        <v>24256</v>
      </c>
      <c r="AB11" s="12">
        <v>16.36</v>
      </c>
      <c r="AC11" s="12" t="s">
        <v>32</v>
      </c>
      <c r="AD11" s="11">
        <v>54160</v>
      </c>
      <c r="AE11" s="12">
        <v>36.520000000000003</v>
      </c>
      <c r="AF11" s="12" t="s">
        <v>32</v>
      </c>
      <c r="AG11" s="12" t="s">
        <v>32</v>
      </c>
      <c r="AH11" s="12" t="s">
        <v>32</v>
      </c>
      <c r="AI11" s="12" t="s">
        <v>32</v>
      </c>
      <c r="AJ11" s="12" t="s">
        <v>32</v>
      </c>
      <c r="AK11" s="12" t="s">
        <v>32</v>
      </c>
      <c r="AL11" s="12" t="s">
        <v>32</v>
      </c>
      <c r="AM11" s="12" t="s">
        <v>32</v>
      </c>
      <c r="AN11" s="12" t="s">
        <v>32</v>
      </c>
      <c r="AO11" s="12" t="s">
        <v>32</v>
      </c>
      <c r="AP11" s="11">
        <v>15719</v>
      </c>
      <c r="AQ11" s="12">
        <v>10.6</v>
      </c>
      <c r="AR11" s="11">
        <v>148295</v>
      </c>
      <c r="AS11" s="10" t="s">
        <v>52</v>
      </c>
    </row>
    <row r="12" spans="1:46" ht="15.75" thickBot="1">
      <c r="A12" t="s">
        <v>51</v>
      </c>
      <c r="B12">
        <v>4</v>
      </c>
      <c r="C12" s="1">
        <v>5888</v>
      </c>
      <c r="D12" s="1">
        <v>1525</v>
      </c>
      <c r="E12" s="1">
        <v>3623</v>
      </c>
      <c r="F12">
        <v>9</v>
      </c>
      <c r="G12">
        <v>28</v>
      </c>
      <c r="H12">
        <v>68</v>
      </c>
      <c r="I12">
        <v>4</v>
      </c>
      <c r="J12">
        <v>30</v>
      </c>
      <c r="K12" s="1">
        <v>11175</v>
      </c>
      <c r="L12" s="1"/>
      <c r="M12" t="s">
        <v>51</v>
      </c>
      <c r="N12" s="20">
        <v>6413</v>
      </c>
      <c r="O12" s="20">
        <v>2197</v>
      </c>
      <c r="P12" s="21">
        <v>47</v>
      </c>
      <c r="Q12" s="21">
        <v>7</v>
      </c>
      <c r="R12" s="21">
        <v>11</v>
      </c>
      <c r="S12" s="20">
        <v>2500</v>
      </c>
      <c r="T12" s="20">
        <f t="shared" si="0"/>
        <v>11175</v>
      </c>
      <c r="U12" s="20"/>
      <c r="V12" s="9" t="s">
        <v>53</v>
      </c>
      <c r="W12" s="10">
        <v>29</v>
      </c>
      <c r="X12" s="46">
        <v>1453321</v>
      </c>
      <c r="Y12" s="12">
        <v>58.84</v>
      </c>
      <c r="Z12" s="12">
        <v>29</v>
      </c>
      <c r="AA12" s="46">
        <v>576975</v>
      </c>
      <c r="AB12" s="12">
        <v>23.36</v>
      </c>
      <c r="AC12" s="12" t="s">
        <v>32</v>
      </c>
      <c r="AD12" s="11">
        <v>432027</v>
      </c>
      <c r="AE12" s="12">
        <v>17.489999999999998</v>
      </c>
      <c r="AF12" s="12" t="s">
        <v>32</v>
      </c>
      <c r="AG12" s="11">
        <v>2367</v>
      </c>
      <c r="AH12" s="12">
        <v>0.1</v>
      </c>
      <c r="AI12" s="12" t="s">
        <v>32</v>
      </c>
      <c r="AJ12" s="11">
        <v>2622</v>
      </c>
      <c r="AK12" s="12">
        <v>0.11</v>
      </c>
      <c r="AL12" s="12" t="s">
        <v>32</v>
      </c>
      <c r="AM12" s="11">
        <v>2334</v>
      </c>
      <c r="AN12" s="12">
        <v>0.09</v>
      </c>
      <c r="AO12" s="12" t="s">
        <v>32</v>
      </c>
      <c r="AP12" s="11">
        <v>876346</v>
      </c>
      <c r="AQ12" s="12">
        <v>35.479999999999997</v>
      </c>
      <c r="AR12" s="11">
        <v>2470067</v>
      </c>
      <c r="AS12" s="10" t="s">
        <v>54</v>
      </c>
    </row>
    <row r="13" spans="1:46" ht="15.75" thickBot="1">
      <c r="A13" t="s">
        <v>53</v>
      </c>
      <c r="B13">
        <v>29</v>
      </c>
      <c r="C13" s="1">
        <v>98414</v>
      </c>
      <c r="D13" s="1">
        <v>19313</v>
      </c>
      <c r="E13" s="1">
        <v>38952</v>
      </c>
      <c r="F13">
        <v>96</v>
      </c>
      <c r="G13">
        <v>600</v>
      </c>
      <c r="H13">
        <v>739</v>
      </c>
      <c r="I13">
        <v>76</v>
      </c>
      <c r="J13">
        <v>140</v>
      </c>
      <c r="K13" s="1">
        <v>158330</v>
      </c>
      <c r="L13" s="1"/>
      <c r="M13" t="s">
        <v>53</v>
      </c>
      <c r="N13" s="20">
        <v>101004</v>
      </c>
      <c r="O13" s="20">
        <v>25080</v>
      </c>
      <c r="P13" s="20">
        <v>1226</v>
      </c>
      <c r="Q13" s="21">
        <v>336</v>
      </c>
      <c r="R13" s="21">
        <v>178</v>
      </c>
      <c r="S13" s="20">
        <v>30506</v>
      </c>
      <c r="T13" s="20">
        <f t="shared" si="0"/>
        <v>158330</v>
      </c>
      <c r="U13" s="20"/>
      <c r="V13" s="9" t="s">
        <v>55</v>
      </c>
      <c r="W13" s="10">
        <v>15</v>
      </c>
      <c r="X13" s="46">
        <v>703042</v>
      </c>
      <c r="Y13" s="12">
        <v>55.25</v>
      </c>
      <c r="Z13" s="12">
        <v>15</v>
      </c>
      <c r="AA13" s="46">
        <v>492245</v>
      </c>
      <c r="AB13" s="12">
        <v>38.69</v>
      </c>
      <c r="AC13" s="12" t="s">
        <v>32</v>
      </c>
      <c r="AD13" s="11">
        <v>71700</v>
      </c>
      <c r="AE13" s="12">
        <v>5.64</v>
      </c>
      <c r="AF13" s="12" t="s">
        <v>32</v>
      </c>
      <c r="AG13" s="11">
        <v>4416</v>
      </c>
      <c r="AH13" s="12">
        <v>0.35</v>
      </c>
      <c r="AI13" s="12" t="s">
        <v>32</v>
      </c>
      <c r="AJ13" s="12">
        <v>987</v>
      </c>
      <c r="AK13" s="12">
        <v>0.08</v>
      </c>
      <c r="AL13" s="12" t="s">
        <v>32</v>
      </c>
      <c r="AM13" s="12" t="s">
        <v>32</v>
      </c>
      <c r="AN13" s="12" t="s">
        <v>32</v>
      </c>
      <c r="AO13" s="12" t="s">
        <v>32</v>
      </c>
      <c r="AP13" s="11">
        <v>210797</v>
      </c>
      <c r="AQ13" s="12">
        <v>16.57</v>
      </c>
      <c r="AR13" s="11">
        <v>1272390</v>
      </c>
      <c r="AS13" s="10" t="s">
        <v>56</v>
      </c>
    </row>
    <row r="14" spans="1:46" ht="15.75" thickBot="1">
      <c r="A14" t="s">
        <v>55</v>
      </c>
      <c r="B14">
        <v>15</v>
      </c>
      <c r="C14" s="1">
        <v>56620</v>
      </c>
      <c r="D14" s="1">
        <v>20256</v>
      </c>
      <c r="E14" s="1">
        <v>11494</v>
      </c>
      <c r="F14">
        <v>76</v>
      </c>
      <c r="G14">
        <v>106</v>
      </c>
      <c r="H14">
        <v>430</v>
      </c>
      <c r="I14">
        <v>59</v>
      </c>
      <c r="J14">
        <v>69</v>
      </c>
      <c r="K14" s="1">
        <v>89110</v>
      </c>
      <c r="L14" s="1"/>
      <c r="M14" t="s">
        <v>55</v>
      </c>
      <c r="N14" s="20">
        <v>52203</v>
      </c>
      <c r="O14" s="20">
        <v>20564</v>
      </c>
      <c r="P14" s="21">
        <v>496</v>
      </c>
      <c r="Q14" s="21">
        <v>110</v>
      </c>
      <c r="R14" s="21">
        <v>139</v>
      </c>
      <c r="S14" s="20">
        <v>15598</v>
      </c>
      <c r="T14" s="20">
        <f t="shared" si="0"/>
        <v>89110</v>
      </c>
      <c r="U14" s="20"/>
      <c r="V14" s="9" t="s">
        <v>57</v>
      </c>
      <c r="W14" s="10">
        <v>13</v>
      </c>
      <c r="X14" s="46">
        <v>537635</v>
      </c>
      <c r="Y14" s="12">
        <v>55.03</v>
      </c>
      <c r="Z14" s="12">
        <v>13</v>
      </c>
      <c r="AA14" s="46">
        <v>162600</v>
      </c>
      <c r="AB14" s="12">
        <v>16.64</v>
      </c>
      <c r="AC14" s="12" t="s">
        <v>32</v>
      </c>
      <c r="AD14" s="11">
        <v>272243</v>
      </c>
      <c r="AE14" s="12">
        <v>27.87</v>
      </c>
      <c r="AF14" s="12" t="s">
        <v>32</v>
      </c>
      <c r="AG14" s="12" t="s">
        <v>32</v>
      </c>
      <c r="AH14" s="12" t="s">
        <v>32</v>
      </c>
      <c r="AI14" s="12" t="s">
        <v>32</v>
      </c>
      <c r="AJ14" s="11">
        <v>4037</v>
      </c>
      <c r="AK14" s="12">
        <v>0.41</v>
      </c>
      <c r="AL14" s="12" t="s">
        <v>32</v>
      </c>
      <c r="AM14" s="12" t="s">
        <v>32</v>
      </c>
      <c r="AN14" s="12" t="s">
        <v>32</v>
      </c>
      <c r="AO14" s="12" t="s">
        <v>32</v>
      </c>
      <c r="AP14" s="11">
        <v>265392</v>
      </c>
      <c r="AQ14" s="12">
        <v>27.17</v>
      </c>
      <c r="AR14" s="11">
        <v>976960</v>
      </c>
      <c r="AS14" s="10" t="s">
        <v>58</v>
      </c>
    </row>
    <row r="15" spans="1:46" ht="15.75" thickBot="1">
      <c r="A15" t="s">
        <v>57</v>
      </c>
      <c r="B15">
        <v>13</v>
      </c>
      <c r="C15" s="1">
        <v>44703</v>
      </c>
      <c r="D15" s="1">
        <v>9910</v>
      </c>
      <c r="E15" s="1">
        <v>21413</v>
      </c>
      <c r="F15">
        <v>38</v>
      </c>
      <c r="G15">
        <v>120</v>
      </c>
      <c r="H15">
        <v>567</v>
      </c>
      <c r="I15">
        <v>46</v>
      </c>
      <c r="J15">
        <v>47</v>
      </c>
      <c r="K15" s="1">
        <v>76844</v>
      </c>
      <c r="L15" s="1"/>
      <c r="M15" t="s">
        <v>57</v>
      </c>
      <c r="N15" s="20">
        <v>50690</v>
      </c>
      <c r="O15" s="20">
        <v>11933</v>
      </c>
      <c r="P15" s="21">
        <v>234</v>
      </c>
      <c r="Q15" s="21">
        <v>88</v>
      </c>
      <c r="R15" s="21">
        <v>102</v>
      </c>
      <c r="S15" s="20">
        <v>13797</v>
      </c>
      <c r="T15" s="20">
        <f t="shared" si="0"/>
        <v>76844</v>
      </c>
      <c r="U15" s="20"/>
      <c r="V15" s="9" t="s">
        <v>59</v>
      </c>
      <c r="W15" s="10">
        <v>10</v>
      </c>
      <c r="X15" s="46">
        <v>407671</v>
      </c>
      <c r="Y15" s="12">
        <v>61.54</v>
      </c>
      <c r="Z15" s="12">
        <v>10</v>
      </c>
      <c r="AA15" s="46">
        <v>156319</v>
      </c>
      <c r="AB15" s="12">
        <v>23.6</v>
      </c>
      <c r="AC15" s="12" t="s">
        <v>32</v>
      </c>
      <c r="AD15" s="11">
        <v>98461</v>
      </c>
      <c r="AE15" s="12">
        <v>14.86</v>
      </c>
      <c r="AF15" s="12" t="s">
        <v>32</v>
      </c>
      <c r="AG15" s="12" t="s">
        <v>32</v>
      </c>
      <c r="AH15" s="12" t="s">
        <v>32</v>
      </c>
      <c r="AI15" s="12" t="s">
        <v>32</v>
      </c>
      <c r="AJ15" s="12" t="s">
        <v>32</v>
      </c>
      <c r="AK15" s="12" t="s">
        <v>32</v>
      </c>
      <c r="AL15" s="12" t="s">
        <v>32</v>
      </c>
      <c r="AM15" s="12" t="s">
        <v>32</v>
      </c>
      <c r="AN15" s="12" t="s">
        <v>32</v>
      </c>
      <c r="AO15" s="12" t="s">
        <v>32</v>
      </c>
      <c r="AP15" s="11">
        <v>251352</v>
      </c>
      <c r="AQ15" s="12">
        <v>37.94</v>
      </c>
      <c r="AR15" s="11">
        <v>662454</v>
      </c>
      <c r="AS15" s="10" t="s">
        <v>60</v>
      </c>
    </row>
    <row r="16" spans="1:46" ht="15.75" thickBot="1">
      <c r="A16" t="s">
        <v>59</v>
      </c>
      <c r="B16">
        <v>10</v>
      </c>
      <c r="C16" s="1">
        <v>31179</v>
      </c>
      <c r="D16" s="1">
        <v>8833</v>
      </c>
      <c r="E16" s="1">
        <v>8838</v>
      </c>
      <c r="F16">
        <v>59</v>
      </c>
      <c r="G16">
        <v>48</v>
      </c>
      <c r="H16">
        <v>452</v>
      </c>
      <c r="I16">
        <v>28</v>
      </c>
      <c r="J16">
        <v>134</v>
      </c>
      <c r="K16" s="1">
        <v>49571</v>
      </c>
      <c r="L16" s="1"/>
      <c r="M16" t="s">
        <v>59</v>
      </c>
      <c r="N16" s="20">
        <v>29354</v>
      </c>
      <c r="O16" s="20">
        <v>10021</v>
      </c>
      <c r="P16" s="21">
        <v>231</v>
      </c>
      <c r="Q16" s="21">
        <v>24</v>
      </c>
      <c r="R16" s="21">
        <v>46</v>
      </c>
      <c r="S16" s="20">
        <v>9895</v>
      </c>
      <c r="T16" s="20">
        <f t="shared" si="0"/>
        <v>49571</v>
      </c>
      <c r="U16" s="20"/>
      <c r="V16" s="9" t="s">
        <v>61</v>
      </c>
      <c r="W16" s="10">
        <v>13</v>
      </c>
      <c r="X16" s="46">
        <v>398966</v>
      </c>
      <c r="Y16" s="12">
        <v>48.93</v>
      </c>
      <c r="Z16" s="12">
        <v>13</v>
      </c>
      <c r="AA16" s="46">
        <v>374855</v>
      </c>
      <c r="AB16" s="12">
        <v>45.98</v>
      </c>
      <c r="AC16" s="12" t="s">
        <v>32</v>
      </c>
      <c r="AD16" s="11">
        <v>38465</v>
      </c>
      <c r="AE16" s="12">
        <v>4.72</v>
      </c>
      <c r="AF16" s="12" t="s">
        <v>32</v>
      </c>
      <c r="AG16" s="12" t="s">
        <v>32</v>
      </c>
      <c r="AH16" s="12" t="s">
        <v>32</v>
      </c>
      <c r="AI16" s="12" t="s">
        <v>32</v>
      </c>
      <c r="AJ16" s="12" t="s">
        <v>32</v>
      </c>
      <c r="AK16" s="12" t="s">
        <v>32</v>
      </c>
      <c r="AL16" s="12" t="s">
        <v>32</v>
      </c>
      <c r="AM16" s="11">
        <v>1499</v>
      </c>
      <c r="AN16" s="12">
        <v>0.18</v>
      </c>
      <c r="AO16" s="12" t="s">
        <v>32</v>
      </c>
      <c r="AP16" s="11">
        <v>24111</v>
      </c>
      <c r="AQ16" s="12">
        <v>2.96</v>
      </c>
      <c r="AR16" s="11">
        <v>815332</v>
      </c>
      <c r="AS16" s="10" t="s">
        <v>62</v>
      </c>
    </row>
    <row r="17" spans="1:45" ht="15.75" thickBot="1">
      <c r="A17" t="s">
        <v>61</v>
      </c>
      <c r="B17">
        <v>13</v>
      </c>
      <c r="C17" s="1">
        <v>15527</v>
      </c>
      <c r="D17" s="1">
        <v>15623</v>
      </c>
      <c r="E17" s="1">
        <v>3350</v>
      </c>
      <c r="F17">
        <v>8</v>
      </c>
      <c r="G17">
        <v>13</v>
      </c>
      <c r="H17">
        <v>199</v>
      </c>
      <c r="I17">
        <v>9</v>
      </c>
      <c r="J17">
        <v>44</v>
      </c>
      <c r="K17" s="1">
        <v>34773</v>
      </c>
      <c r="L17" s="1"/>
      <c r="M17" t="s">
        <v>61</v>
      </c>
      <c r="N17" s="20">
        <v>13759</v>
      </c>
      <c r="O17" s="20">
        <v>15290</v>
      </c>
      <c r="P17" s="21">
        <v>83</v>
      </c>
      <c r="Q17" s="21">
        <v>11</v>
      </c>
      <c r="R17" s="21">
        <v>24</v>
      </c>
      <c r="S17">
        <v>5606</v>
      </c>
      <c r="T17" s="20">
        <f t="shared" si="0"/>
        <v>34773</v>
      </c>
      <c r="U17" s="20"/>
      <c r="V17" s="5" t="s">
        <v>63</v>
      </c>
      <c r="W17" s="6">
        <v>10</v>
      </c>
      <c r="X17" s="45">
        <v>24670</v>
      </c>
      <c r="Y17" s="8">
        <v>20.23</v>
      </c>
      <c r="Z17" s="8" t="s">
        <v>32</v>
      </c>
      <c r="AA17" s="45">
        <v>93218</v>
      </c>
      <c r="AB17" s="8">
        <v>76.44</v>
      </c>
      <c r="AC17" s="8">
        <v>10</v>
      </c>
      <c r="AD17" s="8">
        <v>0</v>
      </c>
      <c r="AE17" s="8" t="s">
        <v>32</v>
      </c>
      <c r="AF17" s="8" t="s">
        <v>32</v>
      </c>
      <c r="AG17" s="8" t="s">
        <v>32</v>
      </c>
      <c r="AH17" s="8" t="s">
        <v>32</v>
      </c>
      <c r="AI17" s="8" t="s">
        <v>32</v>
      </c>
      <c r="AJ17" s="8" t="s">
        <v>32</v>
      </c>
      <c r="AK17" s="8" t="s">
        <v>32</v>
      </c>
      <c r="AL17" s="8" t="s">
        <v>32</v>
      </c>
      <c r="AM17" s="8" t="s">
        <v>32</v>
      </c>
      <c r="AN17" s="8" t="s">
        <v>32</v>
      </c>
      <c r="AO17" s="8" t="s">
        <v>32</v>
      </c>
      <c r="AP17" s="7">
        <v>-68548</v>
      </c>
      <c r="AQ17" s="8">
        <v>-56.21</v>
      </c>
      <c r="AR17" s="7">
        <v>121951</v>
      </c>
      <c r="AS17" s="6" t="s">
        <v>64</v>
      </c>
    </row>
    <row r="18" spans="1:45" ht="15.75" thickBot="1">
      <c r="A18" t="s">
        <v>63</v>
      </c>
      <c r="B18">
        <v>10</v>
      </c>
      <c r="C18" s="1">
        <v>5281</v>
      </c>
      <c r="D18" s="1">
        <v>7693</v>
      </c>
      <c r="E18" s="1">
        <v>2371</v>
      </c>
      <c r="F18">
        <v>8</v>
      </c>
      <c r="G18">
        <v>23</v>
      </c>
      <c r="H18">
        <v>58</v>
      </c>
      <c r="I18">
        <v>11</v>
      </c>
      <c r="J18">
        <v>29</v>
      </c>
      <c r="K18" s="1">
        <v>15474</v>
      </c>
      <c r="L18" s="1"/>
      <c r="M18" t="s">
        <v>63</v>
      </c>
      <c r="N18" s="20">
        <v>3551</v>
      </c>
      <c r="O18" s="20">
        <v>8866</v>
      </c>
      <c r="P18" s="21">
        <v>36</v>
      </c>
      <c r="Q18" s="21">
        <v>3</v>
      </c>
      <c r="R18" s="21">
        <v>1</v>
      </c>
      <c r="S18" s="20">
        <v>3017</v>
      </c>
      <c r="T18" s="20">
        <f t="shared" si="0"/>
        <v>15474</v>
      </c>
      <c r="U18" s="20"/>
      <c r="V18" s="9" t="s">
        <v>65</v>
      </c>
      <c r="W18" s="10">
        <v>6</v>
      </c>
      <c r="X18" s="46">
        <v>138440</v>
      </c>
      <c r="Y18" s="12">
        <v>72.03</v>
      </c>
      <c r="Z18" s="12">
        <v>6</v>
      </c>
      <c r="AA18" s="46">
        <v>41964</v>
      </c>
      <c r="AB18" s="12">
        <v>21.83</v>
      </c>
      <c r="AC18" s="12" t="s">
        <v>32</v>
      </c>
      <c r="AD18" s="11">
        <v>11382</v>
      </c>
      <c r="AE18" s="12">
        <v>5.92</v>
      </c>
      <c r="AF18" s="12" t="s">
        <v>32</v>
      </c>
      <c r="AG18" s="12" t="s">
        <v>32</v>
      </c>
      <c r="AH18" s="12" t="s">
        <v>32</v>
      </c>
      <c r="AI18" s="12" t="s">
        <v>32</v>
      </c>
      <c r="AJ18" s="12" t="s">
        <v>32</v>
      </c>
      <c r="AK18" s="12" t="s">
        <v>32</v>
      </c>
      <c r="AL18" s="12" t="s">
        <v>32</v>
      </c>
      <c r="AM18" s="12">
        <v>406</v>
      </c>
      <c r="AN18" s="12">
        <v>0.21</v>
      </c>
      <c r="AO18" s="12" t="s">
        <v>32</v>
      </c>
      <c r="AP18" s="11">
        <v>96476</v>
      </c>
      <c r="AQ18" s="12">
        <v>50.2</v>
      </c>
      <c r="AR18" s="11">
        <v>192192</v>
      </c>
      <c r="AS18" s="10" t="s">
        <v>66</v>
      </c>
    </row>
    <row r="19" spans="1:45" ht="15.75" thickBot="1">
      <c r="A19" t="s">
        <v>65</v>
      </c>
      <c r="B19">
        <v>6</v>
      </c>
      <c r="C19" s="1">
        <v>19046</v>
      </c>
      <c r="D19" s="1">
        <v>3180</v>
      </c>
      <c r="E19" s="1">
        <v>1865</v>
      </c>
      <c r="F19">
        <v>9</v>
      </c>
      <c r="G19">
        <v>21</v>
      </c>
      <c r="H19">
        <v>54</v>
      </c>
      <c r="I19">
        <v>11</v>
      </c>
      <c r="J19">
        <v>40</v>
      </c>
      <c r="K19">
        <v>24226</v>
      </c>
      <c r="L19" s="1"/>
      <c r="M19" t="s">
        <v>67</v>
      </c>
      <c r="N19" s="20">
        <v>16364</v>
      </c>
      <c r="O19" s="20">
        <v>3344</v>
      </c>
      <c r="P19" s="21">
        <v>53</v>
      </c>
      <c r="Q19" s="21">
        <v>2</v>
      </c>
      <c r="R19" s="21">
        <v>6</v>
      </c>
      <c r="S19" s="21">
        <v>4457</v>
      </c>
      <c r="T19" s="20">
        <f t="shared" si="0"/>
        <v>24226</v>
      </c>
      <c r="U19" s="21"/>
      <c r="V19" s="9" t="s">
        <v>68</v>
      </c>
      <c r="W19" s="10">
        <v>8</v>
      </c>
      <c r="X19" s="46">
        <v>162414</v>
      </c>
      <c r="Y19" s="12">
        <v>45.29</v>
      </c>
      <c r="Z19" s="12">
        <v>8</v>
      </c>
      <c r="AA19" s="46">
        <v>148072</v>
      </c>
      <c r="AB19" s="12">
        <v>41.29</v>
      </c>
      <c r="AC19" s="12" t="s">
        <v>32</v>
      </c>
      <c r="AD19" s="11">
        <v>47157</v>
      </c>
      <c r="AE19" s="12">
        <v>13.15</v>
      </c>
      <c r="AF19" s="12" t="s">
        <v>32</v>
      </c>
      <c r="AG19" s="12" t="s">
        <v>32</v>
      </c>
      <c r="AH19" s="12" t="s">
        <v>32</v>
      </c>
      <c r="AI19" s="12" t="s">
        <v>32</v>
      </c>
      <c r="AJ19" s="12" t="s">
        <v>32</v>
      </c>
      <c r="AK19" s="12" t="s">
        <v>32</v>
      </c>
      <c r="AL19" s="12" t="s">
        <v>32</v>
      </c>
      <c r="AM19" s="12">
        <v>987</v>
      </c>
      <c r="AN19" s="12">
        <v>0.28000000000000003</v>
      </c>
      <c r="AO19" s="12" t="s">
        <v>32</v>
      </c>
      <c r="AP19" s="11">
        <v>14342</v>
      </c>
      <c r="AQ19" s="12">
        <v>4</v>
      </c>
      <c r="AR19" s="11">
        <v>358630</v>
      </c>
      <c r="AS19" s="10" t="s">
        <v>69</v>
      </c>
    </row>
    <row r="20" spans="1:45" ht="15.75" thickBot="1">
      <c r="A20" t="s">
        <v>68</v>
      </c>
      <c r="B20">
        <v>8</v>
      </c>
      <c r="C20" s="1">
        <v>12018</v>
      </c>
      <c r="D20" s="1">
        <v>8877</v>
      </c>
      <c r="E20" s="1">
        <v>5118</v>
      </c>
      <c r="F20">
        <v>11</v>
      </c>
      <c r="G20">
        <v>37</v>
      </c>
      <c r="H20">
        <v>172</v>
      </c>
      <c r="I20">
        <v>17</v>
      </c>
      <c r="J20">
        <v>65</v>
      </c>
      <c r="K20" s="1">
        <v>26315</v>
      </c>
      <c r="L20" s="1"/>
      <c r="M20" t="s">
        <v>68</v>
      </c>
      <c r="N20" s="20">
        <v>11616</v>
      </c>
      <c r="O20" s="20">
        <v>9052</v>
      </c>
      <c r="P20" s="21">
        <v>168</v>
      </c>
      <c r="Q20" s="21">
        <v>28</v>
      </c>
      <c r="R20" s="21">
        <v>10</v>
      </c>
      <c r="S20" s="20">
        <v>5441</v>
      </c>
      <c r="T20" s="20">
        <f t="shared" si="0"/>
        <v>26315</v>
      </c>
      <c r="U20" s="20"/>
      <c r="V20" s="9" t="s">
        <v>70</v>
      </c>
      <c r="W20" s="10">
        <v>18</v>
      </c>
      <c r="X20" s="46">
        <v>703476</v>
      </c>
      <c r="Y20" s="12">
        <v>62.26</v>
      </c>
      <c r="Z20" s="12">
        <v>18</v>
      </c>
      <c r="AA20" s="46">
        <v>280831</v>
      </c>
      <c r="AB20" s="12">
        <v>24.86</v>
      </c>
      <c r="AC20" s="12" t="s">
        <v>32</v>
      </c>
      <c r="AD20" s="11">
        <v>141225</v>
      </c>
      <c r="AE20" s="12">
        <v>12.5</v>
      </c>
      <c r="AF20" s="12" t="s">
        <v>32</v>
      </c>
      <c r="AG20" s="12" t="s">
        <v>32</v>
      </c>
      <c r="AH20" s="12" t="s">
        <v>32</v>
      </c>
      <c r="AI20" s="12" t="s">
        <v>32</v>
      </c>
      <c r="AJ20" s="11">
        <v>2635</v>
      </c>
      <c r="AK20" s="12">
        <v>0.23</v>
      </c>
      <c r="AL20" s="12" t="s">
        <v>32</v>
      </c>
      <c r="AM20" s="11">
        <v>1668</v>
      </c>
      <c r="AN20" s="12">
        <v>0.15</v>
      </c>
      <c r="AO20" s="12" t="s">
        <v>32</v>
      </c>
      <c r="AP20" s="11">
        <v>422645</v>
      </c>
      <c r="AQ20" s="12">
        <v>37.409999999999997</v>
      </c>
      <c r="AR20" s="11">
        <v>1129837</v>
      </c>
      <c r="AS20" s="10" t="s">
        <v>71</v>
      </c>
    </row>
    <row r="21" spans="1:45" ht="15.75" thickBot="1">
      <c r="A21" t="s">
        <v>70</v>
      </c>
      <c r="B21">
        <v>18</v>
      </c>
      <c r="C21" s="1">
        <v>87801</v>
      </c>
      <c r="D21" s="1">
        <v>11391</v>
      </c>
      <c r="E21" s="1">
        <v>16724</v>
      </c>
      <c r="F21">
        <v>25</v>
      </c>
      <c r="G21">
        <v>245</v>
      </c>
      <c r="H21">
        <v>129</v>
      </c>
      <c r="I21">
        <v>47</v>
      </c>
      <c r="J21">
        <v>484</v>
      </c>
      <c r="K21" s="1">
        <v>116846</v>
      </c>
      <c r="L21" s="1"/>
      <c r="M21" t="s">
        <v>70</v>
      </c>
      <c r="N21" s="20">
        <v>83186</v>
      </c>
      <c r="O21" s="20">
        <v>12303</v>
      </c>
      <c r="P21" s="21">
        <v>765</v>
      </c>
      <c r="Q21" s="21">
        <v>32</v>
      </c>
      <c r="R21" s="21">
        <v>27</v>
      </c>
      <c r="S21" s="20">
        <v>20533</v>
      </c>
      <c r="T21" s="20">
        <f t="shared" si="0"/>
        <v>116846</v>
      </c>
      <c r="U21" s="20"/>
      <c r="V21" s="9" t="s">
        <v>72</v>
      </c>
      <c r="W21" s="10">
        <v>15</v>
      </c>
      <c r="X21" s="46">
        <v>874631</v>
      </c>
      <c r="Y21" s="12">
        <v>75.37</v>
      </c>
      <c r="Z21" s="12">
        <v>15</v>
      </c>
      <c r="AA21" s="46">
        <v>152359</v>
      </c>
      <c r="AB21" s="12">
        <v>13.13</v>
      </c>
      <c r="AC21" s="12" t="s">
        <v>32</v>
      </c>
      <c r="AD21" s="11">
        <v>122014</v>
      </c>
      <c r="AE21" s="12">
        <v>10.51</v>
      </c>
      <c r="AF21" s="12" t="s">
        <v>32</v>
      </c>
      <c r="AG21" s="11">
        <v>6085</v>
      </c>
      <c r="AH21" s="12">
        <v>0.52</v>
      </c>
      <c r="AI21" s="12" t="s">
        <v>32</v>
      </c>
      <c r="AJ21" s="11">
        <v>5330</v>
      </c>
      <c r="AK21" s="12">
        <v>0.46</v>
      </c>
      <c r="AL21" s="12" t="s">
        <v>32</v>
      </c>
      <c r="AM21" s="12" t="s">
        <v>32</v>
      </c>
      <c r="AN21" s="12" t="s">
        <v>32</v>
      </c>
      <c r="AO21" s="12" t="s">
        <v>32</v>
      </c>
      <c r="AP21" s="11">
        <v>722272</v>
      </c>
      <c r="AQ21" s="12">
        <v>62.24</v>
      </c>
      <c r="AR21" s="11">
        <v>1160419</v>
      </c>
      <c r="AS21" s="10" t="s">
        <v>73</v>
      </c>
    </row>
    <row r="22" spans="1:45" ht="15.75" thickBot="1">
      <c r="A22" t="s">
        <v>72</v>
      </c>
      <c r="B22">
        <v>15</v>
      </c>
      <c r="C22" s="1">
        <v>72482</v>
      </c>
      <c r="D22" s="1">
        <v>8579</v>
      </c>
      <c r="E22" s="1">
        <v>21966</v>
      </c>
      <c r="F22">
        <v>69</v>
      </c>
      <c r="G22">
        <v>299</v>
      </c>
      <c r="H22">
        <v>545</v>
      </c>
      <c r="I22">
        <v>40</v>
      </c>
      <c r="J22">
        <v>88</v>
      </c>
      <c r="K22" s="1">
        <v>104068</v>
      </c>
      <c r="L22" s="1"/>
      <c r="M22" t="s">
        <v>72</v>
      </c>
      <c r="N22" s="20">
        <v>71255</v>
      </c>
      <c r="O22" s="20">
        <v>12105</v>
      </c>
      <c r="P22" s="21">
        <v>651</v>
      </c>
      <c r="Q22" s="21">
        <v>120</v>
      </c>
      <c r="R22" s="21">
        <v>146</v>
      </c>
      <c r="S22" s="20">
        <v>19791</v>
      </c>
      <c r="T22" s="20">
        <f t="shared" si="0"/>
        <v>104068</v>
      </c>
      <c r="U22" s="20"/>
      <c r="V22" s="9" t="s">
        <v>74</v>
      </c>
      <c r="W22" s="10">
        <v>12</v>
      </c>
      <c r="X22" s="46">
        <v>420759</v>
      </c>
      <c r="Y22" s="12">
        <v>51.18</v>
      </c>
      <c r="Z22" s="12">
        <v>12</v>
      </c>
      <c r="AA22" s="46">
        <v>55913</v>
      </c>
      <c r="AB22" s="12">
        <v>6.8</v>
      </c>
      <c r="AC22" s="12" t="s">
        <v>32</v>
      </c>
      <c r="AD22" s="11">
        <v>339192</v>
      </c>
      <c r="AE22" s="12">
        <v>41.26</v>
      </c>
      <c r="AF22" s="12" t="s">
        <v>32</v>
      </c>
      <c r="AG22" s="12" t="s">
        <v>32</v>
      </c>
      <c r="AH22" s="12" t="s">
        <v>32</v>
      </c>
      <c r="AI22" s="12" t="s">
        <v>32</v>
      </c>
      <c r="AJ22" s="11">
        <v>4427</v>
      </c>
      <c r="AK22" s="12">
        <v>0.54</v>
      </c>
      <c r="AL22" s="12" t="s">
        <v>32</v>
      </c>
      <c r="AM22" s="11">
        <v>1855</v>
      </c>
      <c r="AN22" s="12">
        <v>0.23</v>
      </c>
      <c r="AO22" s="12" t="s">
        <v>32</v>
      </c>
      <c r="AP22" s="11">
        <v>81567</v>
      </c>
      <c r="AQ22" s="12">
        <v>9.92</v>
      </c>
      <c r="AR22" s="11">
        <v>822146</v>
      </c>
      <c r="AS22" s="10" t="s">
        <v>75</v>
      </c>
    </row>
    <row r="23" spans="1:45" ht="15.75" thickBot="1">
      <c r="A23" t="s">
        <v>74</v>
      </c>
      <c r="B23">
        <v>12</v>
      </c>
      <c r="C23" s="1">
        <v>36982</v>
      </c>
      <c r="D23" s="1">
        <v>5622</v>
      </c>
      <c r="E23" s="1">
        <v>20498</v>
      </c>
      <c r="F23">
        <v>39</v>
      </c>
      <c r="G23">
        <v>260</v>
      </c>
      <c r="H23">
        <v>290</v>
      </c>
      <c r="I23">
        <v>47</v>
      </c>
      <c r="J23">
        <v>219</v>
      </c>
      <c r="K23" s="1">
        <v>63957</v>
      </c>
      <c r="L23" s="1"/>
      <c r="M23" t="s">
        <v>74</v>
      </c>
      <c r="N23" s="20">
        <v>39542</v>
      </c>
      <c r="O23" s="20">
        <v>7799</v>
      </c>
      <c r="P23" s="21">
        <v>426</v>
      </c>
      <c r="Q23" s="21">
        <v>946</v>
      </c>
      <c r="R23" s="21">
        <v>93</v>
      </c>
      <c r="S23" s="20">
        <v>15151</v>
      </c>
      <c r="T23" s="20">
        <f t="shared" si="0"/>
        <v>63957</v>
      </c>
      <c r="U23" s="20"/>
      <c r="V23" s="5" t="s">
        <v>76</v>
      </c>
      <c r="W23" s="6">
        <v>10</v>
      </c>
      <c r="X23" s="45">
        <v>8494</v>
      </c>
      <c r="Y23" s="8">
        <v>7.55</v>
      </c>
      <c r="Z23" s="8" t="s">
        <v>32</v>
      </c>
      <c r="AA23" s="45">
        <v>100474</v>
      </c>
      <c r="AB23" s="8">
        <v>89.34</v>
      </c>
      <c r="AC23" s="8">
        <v>10</v>
      </c>
      <c r="AD23" s="7">
        <v>3494</v>
      </c>
      <c r="AE23" s="8">
        <v>3.11</v>
      </c>
      <c r="AF23" s="8" t="s">
        <v>32</v>
      </c>
      <c r="AG23" s="8" t="s">
        <v>32</v>
      </c>
      <c r="AH23" s="8" t="s">
        <v>32</v>
      </c>
      <c r="AI23" s="8" t="s">
        <v>32</v>
      </c>
      <c r="AJ23" s="8" t="s">
        <v>32</v>
      </c>
      <c r="AK23" s="8" t="s">
        <v>32</v>
      </c>
      <c r="AL23" s="8" t="s">
        <v>32</v>
      </c>
      <c r="AM23" s="8" t="s">
        <v>32</v>
      </c>
      <c r="AN23" s="8" t="s">
        <v>32</v>
      </c>
      <c r="AO23" s="8" t="s">
        <v>32</v>
      </c>
      <c r="AP23" s="7">
        <v>-91980</v>
      </c>
      <c r="AQ23" s="8">
        <v>-81.790000000000006</v>
      </c>
      <c r="AR23" s="7">
        <v>112462</v>
      </c>
      <c r="AS23" s="6" t="s">
        <v>77</v>
      </c>
    </row>
    <row r="24" spans="1:45" ht="15.75" thickBot="1">
      <c r="A24" t="s">
        <v>76</v>
      </c>
      <c r="B24">
        <v>10</v>
      </c>
      <c r="C24" s="1">
        <v>2292</v>
      </c>
      <c r="D24" s="1">
        <v>10773</v>
      </c>
      <c r="E24">
        <v>963</v>
      </c>
      <c r="F24">
        <v>6</v>
      </c>
      <c r="G24">
        <v>3</v>
      </c>
      <c r="H24">
        <v>28</v>
      </c>
      <c r="I24">
        <v>9</v>
      </c>
      <c r="J24">
        <v>23</v>
      </c>
      <c r="K24" s="1">
        <v>14097</v>
      </c>
      <c r="L24" s="1"/>
      <c r="M24" t="s">
        <v>76</v>
      </c>
      <c r="N24" s="20">
        <v>1375</v>
      </c>
      <c r="O24" s="20">
        <v>9900</v>
      </c>
      <c r="P24" s="21">
        <v>19</v>
      </c>
      <c r="Q24" s="21">
        <v>15</v>
      </c>
      <c r="R24" s="21">
        <v>2</v>
      </c>
      <c r="S24" s="20">
        <v>2786</v>
      </c>
      <c r="T24" s="20">
        <f t="shared" si="0"/>
        <v>14097</v>
      </c>
      <c r="U24" s="20"/>
      <c r="V24" s="9" t="s">
        <v>78</v>
      </c>
      <c r="W24" s="10">
        <v>18</v>
      </c>
      <c r="X24" s="46">
        <v>648486</v>
      </c>
      <c r="Y24" s="12">
        <v>49.58</v>
      </c>
      <c r="Z24" s="12">
        <v>18</v>
      </c>
      <c r="AA24" s="46">
        <v>572753</v>
      </c>
      <c r="AB24" s="12">
        <v>43.79</v>
      </c>
      <c r="AC24" s="12" t="s">
        <v>32</v>
      </c>
      <c r="AD24" s="11">
        <v>84160</v>
      </c>
      <c r="AE24" s="12">
        <v>6.43</v>
      </c>
      <c r="AF24" s="12" t="s">
        <v>32</v>
      </c>
      <c r="AG24" s="11">
        <v>1418</v>
      </c>
      <c r="AH24" s="12">
        <v>0.11</v>
      </c>
      <c r="AI24" s="12" t="s">
        <v>32</v>
      </c>
      <c r="AJ24" s="12" t="s">
        <v>32</v>
      </c>
      <c r="AK24" s="12" t="s">
        <v>32</v>
      </c>
      <c r="AL24" s="12" t="s">
        <v>32</v>
      </c>
      <c r="AM24" s="12">
        <v>883</v>
      </c>
      <c r="AN24" s="12">
        <v>7.0000000000000007E-2</v>
      </c>
      <c r="AO24" s="12" t="s">
        <v>32</v>
      </c>
      <c r="AP24" s="11">
        <v>75733</v>
      </c>
      <c r="AQ24" s="12">
        <v>5.79</v>
      </c>
      <c r="AR24" s="11">
        <v>1307958</v>
      </c>
      <c r="AS24" s="10" t="s">
        <v>79</v>
      </c>
    </row>
    <row r="25" spans="1:45" ht="15.75" thickBot="1">
      <c r="A25" t="s">
        <v>78</v>
      </c>
      <c r="B25">
        <v>18</v>
      </c>
      <c r="C25" s="1">
        <v>47113</v>
      </c>
      <c r="D25" s="1">
        <v>31349</v>
      </c>
      <c r="E25" s="1">
        <v>10682</v>
      </c>
      <c r="F25">
        <v>214</v>
      </c>
      <c r="G25">
        <v>65</v>
      </c>
      <c r="H25">
        <v>318</v>
      </c>
      <c r="I25">
        <v>32</v>
      </c>
      <c r="J25">
        <v>69</v>
      </c>
      <c r="K25" s="1">
        <v>89842</v>
      </c>
      <c r="L25" s="1"/>
      <c r="M25" t="s">
        <v>78</v>
      </c>
      <c r="N25" s="20">
        <v>46655</v>
      </c>
      <c r="O25" s="20">
        <v>29686</v>
      </c>
      <c r="P25" s="21">
        <v>313</v>
      </c>
      <c r="Q25" s="21">
        <v>46</v>
      </c>
      <c r="R25" s="21">
        <v>62</v>
      </c>
      <c r="S25" s="20">
        <v>13080</v>
      </c>
      <c r="T25" s="20">
        <f t="shared" si="0"/>
        <v>89842</v>
      </c>
      <c r="U25" s="20"/>
      <c r="V25" s="9" t="s">
        <v>80</v>
      </c>
      <c r="W25" s="10">
        <v>4</v>
      </c>
      <c r="X25" s="46">
        <v>74138</v>
      </c>
      <c r="Y25" s="12">
        <v>42.5</v>
      </c>
      <c r="Z25" s="12">
        <v>4</v>
      </c>
      <c r="AA25" s="46">
        <v>33805</v>
      </c>
      <c r="AB25" s="12">
        <v>19.38</v>
      </c>
      <c r="AC25" s="12" t="s">
        <v>32</v>
      </c>
      <c r="AD25" s="11">
        <v>66123</v>
      </c>
      <c r="AE25" s="12">
        <v>37.909999999999997</v>
      </c>
      <c r="AF25" s="12" t="s">
        <v>32</v>
      </c>
      <c r="AG25" s="12" t="s">
        <v>32</v>
      </c>
      <c r="AH25" s="12" t="s">
        <v>32</v>
      </c>
      <c r="AI25" s="12" t="s">
        <v>32</v>
      </c>
      <c r="AJ25" s="12">
        <v>357</v>
      </c>
      <c r="AK25" s="12">
        <v>0.2</v>
      </c>
      <c r="AL25" s="12" t="s">
        <v>32</v>
      </c>
      <c r="AM25" s="12" t="s">
        <v>32</v>
      </c>
      <c r="AN25" s="12" t="s">
        <v>32</v>
      </c>
      <c r="AO25" s="12" t="s">
        <v>32</v>
      </c>
      <c r="AP25" s="11">
        <v>8015</v>
      </c>
      <c r="AQ25" s="12">
        <v>4.5999999999999996</v>
      </c>
      <c r="AR25" s="11">
        <v>174423</v>
      </c>
      <c r="AS25" s="10" t="s">
        <v>81</v>
      </c>
    </row>
    <row r="26" spans="1:45" ht="15.75" thickBot="1">
      <c r="A26" t="s">
        <v>80</v>
      </c>
      <c r="B26">
        <v>4</v>
      </c>
      <c r="C26" s="1">
        <v>7629</v>
      </c>
      <c r="D26" s="1">
        <v>1807</v>
      </c>
      <c r="E26" s="1">
        <v>4502</v>
      </c>
      <c r="F26" s="1">
        <v>0</v>
      </c>
      <c r="G26">
        <v>42</v>
      </c>
      <c r="H26">
        <v>82</v>
      </c>
      <c r="I26">
        <v>6</v>
      </c>
      <c r="J26">
        <v>10</v>
      </c>
      <c r="K26" s="1">
        <v>14078</v>
      </c>
      <c r="L26" s="1"/>
      <c r="M26" t="s">
        <v>80</v>
      </c>
      <c r="N26" s="20">
        <v>8175</v>
      </c>
      <c r="O26" s="20">
        <v>2911</v>
      </c>
      <c r="P26" s="21">
        <v>48</v>
      </c>
      <c r="Q26" s="21">
        <v>72</v>
      </c>
      <c r="R26" s="21">
        <v>5</v>
      </c>
      <c r="S26" s="20">
        <v>2867</v>
      </c>
      <c r="T26" s="20">
        <f t="shared" si="0"/>
        <v>14078</v>
      </c>
      <c r="U26" s="20"/>
      <c r="V26" s="9" t="s">
        <v>82</v>
      </c>
      <c r="W26" s="10">
        <v>8</v>
      </c>
      <c r="X26" s="46">
        <v>218585</v>
      </c>
      <c r="Y26" s="12">
        <v>47.09</v>
      </c>
      <c r="Z26" s="12">
        <v>8</v>
      </c>
      <c r="AA26" s="46">
        <v>137289</v>
      </c>
      <c r="AB26" s="12">
        <v>29.58</v>
      </c>
      <c r="AC26" s="12" t="s">
        <v>32</v>
      </c>
      <c r="AD26" s="11">
        <v>106701</v>
      </c>
      <c r="AE26" s="12">
        <v>22.99</v>
      </c>
      <c r="AF26" s="12" t="s">
        <v>32</v>
      </c>
      <c r="AG26" s="11">
        <v>1594</v>
      </c>
      <c r="AH26" s="12">
        <v>0.34</v>
      </c>
      <c r="AI26" s="12" t="s">
        <v>32</v>
      </c>
      <c r="AJ26" s="12" t="s">
        <v>32</v>
      </c>
      <c r="AK26" s="12" t="s">
        <v>32</v>
      </c>
      <c r="AL26" s="12" t="s">
        <v>32</v>
      </c>
      <c r="AM26" s="12" t="s">
        <v>32</v>
      </c>
      <c r="AN26" s="12" t="s">
        <v>32</v>
      </c>
      <c r="AO26" s="12" t="s">
        <v>32</v>
      </c>
      <c r="AP26" s="11">
        <v>81296</v>
      </c>
      <c r="AQ26" s="12">
        <v>17.510000000000002</v>
      </c>
      <c r="AR26" s="11">
        <v>464173</v>
      </c>
      <c r="AS26" s="10" t="s">
        <v>83</v>
      </c>
    </row>
    <row r="27" spans="1:45" ht="15.75" thickBot="1">
      <c r="A27" t="s">
        <v>82</v>
      </c>
      <c r="B27">
        <v>8</v>
      </c>
      <c r="C27" s="1">
        <v>20862</v>
      </c>
      <c r="D27" s="1">
        <v>8892</v>
      </c>
      <c r="E27" s="1">
        <v>8883</v>
      </c>
      <c r="F27">
        <v>19</v>
      </c>
      <c r="G27">
        <v>51</v>
      </c>
      <c r="H27">
        <v>321</v>
      </c>
      <c r="I27">
        <v>30</v>
      </c>
      <c r="J27">
        <v>64</v>
      </c>
      <c r="K27" s="1">
        <v>39122</v>
      </c>
      <c r="L27" s="1"/>
      <c r="M27" t="s">
        <v>82</v>
      </c>
      <c r="N27" s="20">
        <v>21965</v>
      </c>
      <c r="O27" s="20">
        <v>9103</v>
      </c>
      <c r="P27" s="21">
        <v>154</v>
      </c>
      <c r="Q27" s="21">
        <v>17</v>
      </c>
      <c r="R27" s="21">
        <v>74</v>
      </c>
      <c r="S27" s="20">
        <v>7809</v>
      </c>
      <c r="T27" s="20">
        <f t="shared" si="0"/>
        <v>39122</v>
      </c>
      <c r="U27" s="20"/>
      <c r="V27" s="9" t="s">
        <v>84</v>
      </c>
      <c r="W27" s="10">
        <v>3</v>
      </c>
      <c r="X27" s="46">
        <v>11243</v>
      </c>
      <c r="Y27" s="12">
        <v>41.76</v>
      </c>
      <c r="Z27" s="12">
        <v>3</v>
      </c>
      <c r="AA27" s="46">
        <v>5909</v>
      </c>
      <c r="AB27" s="12">
        <v>21.95</v>
      </c>
      <c r="AC27" s="12" t="s">
        <v>32</v>
      </c>
      <c r="AD27" s="11">
        <v>9769</v>
      </c>
      <c r="AE27" s="12">
        <v>36.29</v>
      </c>
      <c r="AF27" s="12" t="s">
        <v>32</v>
      </c>
      <c r="AG27" s="12" t="s">
        <v>32</v>
      </c>
      <c r="AH27" s="12" t="s">
        <v>32</v>
      </c>
      <c r="AI27" s="12" t="s">
        <v>32</v>
      </c>
      <c r="AJ27" s="12" t="s">
        <v>32</v>
      </c>
      <c r="AK27" s="12" t="s">
        <v>32</v>
      </c>
      <c r="AL27" s="12" t="s">
        <v>32</v>
      </c>
      <c r="AM27" s="12" t="s">
        <v>32</v>
      </c>
      <c r="AN27" s="12" t="s">
        <v>32</v>
      </c>
      <c r="AO27" s="12" t="s">
        <v>32</v>
      </c>
      <c r="AP27" s="11">
        <v>1474</v>
      </c>
      <c r="AQ27" s="12">
        <v>5.48</v>
      </c>
      <c r="AR27" s="11">
        <v>26921</v>
      </c>
      <c r="AS27" s="10" t="s">
        <v>85</v>
      </c>
    </row>
    <row r="28" spans="1:45" ht="15.75" thickBot="1">
      <c r="A28" t="s">
        <v>84</v>
      </c>
      <c r="B28">
        <v>3</v>
      </c>
      <c r="C28" s="1">
        <v>1230</v>
      </c>
      <c r="D28">
        <v>348</v>
      </c>
      <c r="E28">
        <v>899</v>
      </c>
      <c r="F28">
        <v>2</v>
      </c>
      <c r="G28">
        <v>0</v>
      </c>
      <c r="H28">
        <v>1</v>
      </c>
      <c r="I28">
        <v>1</v>
      </c>
      <c r="J28">
        <v>4</v>
      </c>
      <c r="K28" s="1">
        <v>2485</v>
      </c>
      <c r="L28" s="1"/>
      <c r="M28" t="s">
        <v>84</v>
      </c>
      <c r="N28" s="20">
        <v>1302</v>
      </c>
      <c r="O28" s="21">
        <v>670</v>
      </c>
      <c r="P28" s="21">
        <v>28</v>
      </c>
      <c r="Q28" s="21">
        <v>4</v>
      </c>
      <c r="R28" s="21">
        <v>5</v>
      </c>
      <c r="S28" s="21">
        <v>476</v>
      </c>
      <c r="T28" s="20">
        <f t="shared" si="0"/>
        <v>2485</v>
      </c>
      <c r="U28" s="20"/>
      <c r="V28" s="9" t="s">
        <v>86</v>
      </c>
      <c r="W28" s="10">
        <v>4</v>
      </c>
      <c r="X28" s="46">
        <v>98575</v>
      </c>
      <c r="Y28" s="12">
        <v>59.83</v>
      </c>
      <c r="Z28" s="12">
        <v>4</v>
      </c>
      <c r="AA28" s="46">
        <v>57201</v>
      </c>
      <c r="AB28" s="12">
        <v>34.72</v>
      </c>
      <c r="AC28" s="12" t="s">
        <v>32</v>
      </c>
      <c r="AD28" s="11">
        <v>8993</v>
      </c>
      <c r="AE28" s="12">
        <v>5.46</v>
      </c>
      <c r="AF28" s="12" t="s">
        <v>32</v>
      </c>
      <c r="AG28" s="12" t="s">
        <v>32</v>
      </c>
      <c r="AH28" s="12" t="s">
        <v>32</v>
      </c>
      <c r="AI28" s="12" t="s">
        <v>32</v>
      </c>
      <c r="AJ28" s="12" t="s">
        <v>32</v>
      </c>
      <c r="AK28" s="12" t="s">
        <v>32</v>
      </c>
      <c r="AL28" s="12" t="s">
        <v>32</v>
      </c>
      <c r="AM28" s="12" t="s">
        <v>32</v>
      </c>
      <c r="AN28" s="12" t="s">
        <v>32</v>
      </c>
      <c r="AO28" s="12" t="s">
        <v>32</v>
      </c>
      <c r="AP28" s="11">
        <v>41374</v>
      </c>
      <c r="AQ28" s="12">
        <v>25.11</v>
      </c>
      <c r="AR28" s="11">
        <v>164769</v>
      </c>
      <c r="AS28" s="10" t="s">
        <v>87</v>
      </c>
    </row>
    <row r="29" spans="1:45" ht="15.75" thickBot="1">
      <c r="A29" t="s">
        <v>88</v>
      </c>
      <c r="B29">
        <v>4</v>
      </c>
      <c r="C29" s="1">
        <v>10348</v>
      </c>
      <c r="D29" s="1">
        <v>2136</v>
      </c>
      <c r="E29" s="1">
        <v>1255</v>
      </c>
      <c r="F29">
        <v>6</v>
      </c>
      <c r="G29">
        <v>4</v>
      </c>
      <c r="H29">
        <v>47</v>
      </c>
      <c r="I29">
        <v>2</v>
      </c>
      <c r="J29">
        <v>50</v>
      </c>
      <c r="K29" s="1">
        <v>13848</v>
      </c>
      <c r="L29" s="1"/>
      <c r="M29" t="s">
        <v>89</v>
      </c>
      <c r="N29" s="20">
        <v>9227</v>
      </c>
      <c r="O29" s="20">
        <v>2316</v>
      </c>
      <c r="P29" s="21">
        <v>30</v>
      </c>
      <c r="Q29" s="21">
        <v>3</v>
      </c>
      <c r="R29" s="21">
        <v>5</v>
      </c>
      <c r="S29" s="20">
        <v>2267</v>
      </c>
      <c r="T29" s="20">
        <f t="shared" si="0"/>
        <v>13848</v>
      </c>
      <c r="U29" s="20"/>
      <c r="V29" s="9" t="s">
        <v>90</v>
      </c>
      <c r="W29" s="10">
        <v>14</v>
      </c>
      <c r="X29" s="46">
        <v>675162</v>
      </c>
      <c r="Y29" s="12">
        <v>62.17</v>
      </c>
      <c r="Z29" s="12">
        <v>14</v>
      </c>
      <c r="AA29" s="46">
        <v>297743</v>
      </c>
      <c r="AB29" s="12">
        <v>27.41</v>
      </c>
      <c r="AC29" s="12" t="s">
        <v>32</v>
      </c>
      <c r="AD29" s="11">
        <v>108901</v>
      </c>
      <c r="AE29" s="12">
        <v>10.029999999999999</v>
      </c>
      <c r="AF29" s="12" t="s">
        <v>32</v>
      </c>
      <c r="AG29" s="11">
        <v>1337</v>
      </c>
      <c r="AH29" s="12">
        <v>0.12</v>
      </c>
      <c r="AI29" s="12" t="s">
        <v>32</v>
      </c>
      <c r="AJ29" s="11">
        <v>1540</v>
      </c>
      <c r="AK29" s="12">
        <v>0.14000000000000001</v>
      </c>
      <c r="AL29" s="12" t="s">
        <v>32</v>
      </c>
      <c r="AM29" s="12">
        <v>819</v>
      </c>
      <c r="AN29" s="12">
        <v>0.08</v>
      </c>
      <c r="AO29" s="12" t="s">
        <v>32</v>
      </c>
      <c r="AP29" s="11">
        <v>377419</v>
      </c>
      <c r="AQ29" s="12">
        <v>34.75</v>
      </c>
      <c r="AR29" s="11">
        <v>1086079</v>
      </c>
      <c r="AS29" s="10" t="s">
        <v>91</v>
      </c>
    </row>
    <row r="30" spans="1:45" ht="15.75" thickBot="1">
      <c r="A30" t="s">
        <v>90</v>
      </c>
      <c r="B30">
        <v>14</v>
      </c>
      <c r="C30" s="1">
        <v>45338</v>
      </c>
      <c r="D30" s="1">
        <v>8497</v>
      </c>
      <c r="E30" s="1">
        <v>9523</v>
      </c>
      <c r="F30">
        <v>25</v>
      </c>
      <c r="G30">
        <v>96</v>
      </c>
      <c r="H30">
        <v>101</v>
      </c>
      <c r="I30">
        <v>31</v>
      </c>
      <c r="J30">
        <v>34</v>
      </c>
      <c r="K30" s="1">
        <v>63645</v>
      </c>
      <c r="L30" s="1"/>
      <c r="M30" t="s">
        <v>90</v>
      </c>
      <c r="N30" s="20">
        <v>42805</v>
      </c>
      <c r="O30" s="20">
        <v>9710</v>
      </c>
      <c r="P30" s="21">
        <v>467</v>
      </c>
      <c r="Q30" s="21">
        <v>35</v>
      </c>
      <c r="R30" s="21">
        <v>32</v>
      </c>
      <c r="S30" s="20">
        <v>10596</v>
      </c>
      <c r="T30" s="20">
        <f t="shared" si="0"/>
        <v>63645</v>
      </c>
      <c r="U30" s="20"/>
      <c r="V30" s="9" t="s">
        <v>92</v>
      </c>
      <c r="W30" s="10">
        <v>3</v>
      </c>
      <c r="X30" s="46">
        <v>54745</v>
      </c>
      <c r="Y30" s="12">
        <v>48.52</v>
      </c>
      <c r="Z30" s="12">
        <v>3</v>
      </c>
      <c r="AA30" s="46">
        <v>48542</v>
      </c>
      <c r="AB30" s="12">
        <v>43.02</v>
      </c>
      <c r="AC30" s="12" t="s">
        <v>32</v>
      </c>
      <c r="AD30" s="11">
        <v>9543</v>
      </c>
      <c r="AE30" s="12">
        <v>8.4600000000000009</v>
      </c>
      <c r="AF30" s="12" t="s">
        <v>32</v>
      </c>
      <c r="AG30" s="12" t="s">
        <v>32</v>
      </c>
      <c r="AH30" s="12" t="s">
        <v>32</v>
      </c>
      <c r="AI30" s="12" t="s">
        <v>32</v>
      </c>
      <c r="AJ30" s="12" t="s">
        <v>32</v>
      </c>
      <c r="AK30" s="12" t="s">
        <v>32</v>
      </c>
      <c r="AL30" s="12" t="s">
        <v>32</v>
      </c>
      <c r="AM30" s="12" t="s">
        <v>32</v>
      </c>
      <c r="AN30" s="12" t="s">
        <v>32</v>
      </c>
      <c r="AO30" s="12" t="s">
        <v>32</v>
      </c>
      <c r="AP30" s="11">
        <v>6203</v>
      </c>
      <c r="AQ30" s="12">
        <v>5.5</v>
      </c>
      <c r="AR30" s="11">
        <v>112830</v>
      </c>
      <c r="AS30" s="10" t="s">
        <v>93</v>
      </c>
    </row>
    <row r="31" spans="1:45" ht="15.75" thickBot="1">
      <c r="A31" t="s">
        <v>92</v>
      </c>
      <c r="B31">
        <v>3</v>
      </c>
      <c r="C31" s="1">
        <v>2882</v>
      </c>
      <c r="D31" s="1">
        <v>1770</v>
      </c>
      <c r="E31" s="1">
        <v>1639</v>
      </c>
      <c r="F31">
        <v>3</v>
      </c>
      <c r="G31">
        <v>5</v>
      </c>
      <c r="H31">
        <v>22</v>
      </c>
      <c r="I31">
        <v>2</v>
      </c>
      <c r="J31">
        <v>6</v>
      </c>
      <c r="K31" s="1">
        <v>6329</v>
      </c>
      <c r="L31" s="1"/>
      <c r="M31" t="s">
        <v>92</v>
      </c>
      <c r="N31" s="20">
        <v>3046</v>
      </c>
      <c r="O31" s="20">
        <v>2156</v>
      </c>
      <c r="P31" s="21">
        <v>21</v>
      </c>
      <c r="Q31" s="21">
        <v>5</v>
      </c>
      <c r="R31" s="21">
        <v>2</v>
      </c>
      <c r="S31" s="20">
        <v>1099</v>
      </c>
      <c r="T31" s="20">
        <f t="shared" si="0"/>
        <v>6329</v>
      </c>
      <c r="U31" s="20"/>
      <c r="V31" s="9" t="s">
        <v>94</v>
      </c>
      <c r="W31" s="10">
        <v>45</v>
      </c>
      <c r="X31" s="46">
        <v>1820058</v>
      </c>
      <c r="Y31" s="12">
        <v>55.76</v>
      </c>
      <c r="Z31" s="12">
        <v>45</v>
      </c>
      <c r="AA31" s="46">
        <v>950796</v>
      </c>
      <c r="AB31" s="12">
        <v>29.13</v>
      </c>
      <c r="AC31" s="12" t="s">
        <v>32</v>
      </c>
      <c r="AD31" s="11">
        <v>474913</v>
      </c>
      <c r="AE31" s="12">
        <v>14.55</v>
      </c>
      <c r="AF31" s="12" t="s">
        <v>32</v>
      </c>
      <c r="AG31" s="12" t="s">
        <v>32</v>
      </c>
      <c r="AH31" s="12" t="s">
        <v>32</v>
      </c>
      <c r="AI31" s="12" t="s">
        <v>32</v>
      </c>
      <c r="AJ31" s="11">
        <v>8244</v>
      </c>
      <c r="AK31" s="12">
        <v>0.25</v>
      </c>
      <c r="AL31" s="12" t="s">
        <v>32</v>
      </c>
      <c r="AM31" s="11">
        <v>9928</v>
      </c>
      <c r="AN31" s="12">
        <v>0.3</v>
      </c>
      <c r="AO31" s="12" t="s">
        <v>32</v>
      </c>
      <c r="AP31" s="11">
        <v>869262</v>
      </c>
      <c r="AQ31" s="12">
        <v>26.63</v>
      </c>
      <c r="AR31" s="11">
        <v>3263939</v>
      </c>
      <c r="AS31" s="10" t="s">
        <v>95</v>
      </c>
    </row>
    <row r="32" spans="1:45" ht="15.75" thickBot="1">
      <c r="A32" t="s">
        <v>94</v>
      </c>
      <c r="B32">
        <v>45</v>
      </c>
      <c r="C32" s="1">
        <v>161017</v>
      </c>
      <c r="D32" s="1">
        <v>35097</v>
      </c>
      <c r="E32" s="1">
        <v>55640</v>
      </c>
      <c r="F32">
        <v>72</v>
      </c>
      <c r="G32">
        <v>869</v>
      </c>
      <c r="H32">
        <v>398</v>
      </c>
      <c r="I32">
        <v>133</v>
      </c>
      <c r="J32">
        <v>264</v>
      </c>
      <c r="K32" s="1">
        <v>253490</v>
      </c>
      <c r="L32" s="1"/>
      <c r="M32" t="s">
        <v>94</v>
      </c>
      <c r="N32" s="20">
        <v>156492</v>
      </c>
      <c r="O32" s="20">
        <v>44869</v>
      </c>
      <c r="P32" s="20">
        <v>3138</v>
      </c>
      <c r="Q32" s="21">
        <v>262</v>
      </c>
      <c r="R32" s="21">
        <v>356</v>
      </c>
      <c r="S32" s="20">
        <v>48373</v>
      </c>
      <c r="T32" s="20">
        <f t="shared" si="0"/>
        <v>253490</v>
      </c>
      <c r="U32" s="20"/>
      <c r="V32" s="5" t="s">
        <v>96</v>
      </c>
      <c r="W32" s="6">
        <v>12</v>
      </c>
      <c r="X32" s="45">
        <v>191753</v>
      </c>
      <c r="Y32" s="8">
        <v>39.729999999999997</v>
      </c>
      <c r="Z32" s="8" t="s">
        <v>32</v>
      </c>
      <c r="AA32" s="45">
        <v>284270</v>
      </c>
      <c r="AB32" s="8">
        <v>58.89</v>
      </c>
      <c r="AC32" s="8">
        <v>12</v>
      </c>
      <c r="AD32" s="7">
        <v>6651</v>
      </c>
      <c r="AE32" s="8">
        <v>1.38</v>
      </c>
      <c r="AF32" s="8" t="s">
        <v>32</v>
      </c>
      <c r="AG32" s="8">
        <v>13</v>
      </c>
      <c r="AH32" s="8">
        <v>0</v>
      </c>
      <c r="AI32" s="8" t="s">
        <v>32</v>
      </c>
      <c r="AJ32" s="8" t="s">
        <v>32</v>
      </c>
      <c r="AK32" s="8" t="s">
        <v>32</v>
      </c>
      <c r="AL32" s="8" t="s">
        <v>32</v>
      </c>
      <c r="AM32" s="8" t="s">
        <v>32</v>
      </c>
      <c r="AN32" s="8" t="s">
        <v>32</v>
      </c>
      <c r="AO32" s="8" t="s">
        <v>32</v>
      </c>
      <c r="AP32" s="7">
        <v>-92517</v>
      </c>
      <c r="AQ32" s="8">
        <v>-19.170000000000002</v>
      </c>
      <c r="AR32" s="7">
        <v>482687</v>
      </c>
      <c r="AS32" s="6" t="s">
        <v>97</v>
      </c>
    </row>
    <row r="33" spans="1:45" ht="15.75" thickBot="1">
      <c r="A33" t="s">
        <v>96</v>
      </c>
      <c r="B33">
        <v>12</v>
      </c>
      <c r="C33" s="1">
        <v>11073</v>
      </c>
      <c r="D33" s="1">
        <v>17704</v>
      </c>
      <c r="E33">
        <v>1474</v>
      </c>
      <c r="F33">
        <v>11</v>
      </c>
      <c r="G33">
        <v>12</v>
      </c>
      <c r="H33">
        <v>22</v>
      </c>
      <c r="I33">
        <v>4</v>
      </c>
      <c r="J33">
        <v>36</v>
      </c>
      <c r="K33" s="1">
        <v>30336</v>
      </c>
      <c r="L33" s="1"/>
      <c r="M33" t="s">
        <v>96</v>
      </c>
      <c r="N33" s="20">
        <v>8766</v>
      </c>
      <c r="O33" s="20">
        <v>16770</v>
      </c>
      <c r="P33" s="21">
        <v>31</v>
      </c>
      <c r="Q33" s="21">
        <v>2</v>
      </c>
      <c r="R33" s="21">
        <v>7</v>
      </c>
      <c r="S33" s="20">
        <v>4760</v>
      </c>
      <c r="T33" s="20">
        <f t="shared" si="0"/>
        <v>30336</v>
      </c>
      <c r="U33" s="20"/>
      <c r="V33" s="9" t="s">
        <v>98</v>
      </c>
      <c r="W33" s="10">
        <v>5</v>
      </c>
      <c r="X33" s="46">
        <v>94931</v>
      </c>
      <c r="Y33" s="12">
        <v>47.68</v>
      </c>
      <c r="Z33" s="12">
        <v>5</v>
      </c>
      <c r="AA33" s="46">
        <v>13858</v>
      </c>
      <c r="AB33" s="12">
        <v>6.96</v>
      </c>
      <c r="AC33" s="12" t="s">
        <v>32</v>
      </c>
      <c r="AD33" s="11">
        <v>89922</v>
      </c>
      <c r="AE33" s="12">
        <v>45.17</v>
      </c>
      <c r="AF33" s="12" t="s">
        <v>32</v>
      </c>
      <c r="AG33" s="12" t="s">
        <v>32</v>
      </c>
      <c r="AH33" s="12" t="s">
        <v>32</v>
      </c>
      <c r="AI33" s="12" t="s">
        <v>32</v>
      </c>
      <c r="AJ33" s="12">
        <v>370</v>
      </c>
      <c r="AK33" s="12">
        <v>0.19</v>
      </c>
      <c r="AL33" s="12" t="s">
        <v>32</v>
      </c>
      <c r="AM33" s="12" t="s">
        <v>32</v>
      </c>
      <c r="AN33" s="12" t="s">
        <v>32</v>
      </c>
      <c r="AO33" s="12" t="s">
        <v>32</v>
      </c>
      <c r="AP33" s="11">
        <v>5009</v>
      </c>
      <c r="AQ33" s="12">
        <v>2.52</v>
      </c>
      <c r="AR33" s="11">
        <v>199081</v>
      </c>
      <c r="AS33" s="10" t="s">
        <v>99</v>
      </c>
    </row>
    <row r="34" spans="1:45" ht="15.75" thickBot="1">
      <c r="A34" t="s">
        <v>98</v>
      </c>
      <c r="B34">
        <v>5</v>
      </c>
      <c r="C34" s="1">
        <v>7372</v>
      </c>
      <c r="D34" s="1">
        <v>1433</v>
      </c>
      <c r="E34" s="1">
        <v>4821</v>
      </c>
      <c r="F34">
        <v>5</v>
      </c>
      <c r="G34">
        <v>29</v>
      </c>
      <c r="H34">
        <v>41</v>
      </c>
      <c r="I34">
        <v>2</v>
      </c>
      <c r="J34">
        <v>51</v>
      </c>
      <c r="K34" s="1">
        <v>13754</v>
      </c>
      <c r="L34" s="1"/>
      <c r="M34" t="s">
        <v>98</v>
      </c>
      <c r="N34" s="20">
        <v>9357</v>
      </c>
      <c r="O34" s="20">
        <v>1630</v>
      </c>
      <c r="P34" s="21">
        <v>56</v>
      </c>
      <c r="Q34" s="21">
        <v>18</v>
      </c>
      <c r="R34" s="21">
        <v>22</v>
      </c>
      <c r="S34" s="20">
        <v>2671</v>
      </c>
      <c r="T34" s="20">
        <f t="shared" si="0"/>
        <v>13754</v>
      </c>
      <c r="U34" s="20"/>
      <c r="V34" s="9" t="s">
        <v>100</v>
      </c>
      <c r="W34" s="10">
        <v>24</v>
      </c>
      <c r="X34" s="46">
        <v>1176130</v>
      </c>
      <c r="Y34" s="12">
        <v>58.33</v>
      </c>
      <c r="Z34" s="12">
        <v>24</v>
      </c>
      <c r="AA34" s="46">
        <v>477888</v>
      </c>
      <c r="AB34" s="12">
        <v>23.7</v>
      </c>
      <c r="AC34" s="12" t="s">
        <v>32</v>
      </c>
      <c r="AD34" s="11">
        <v>357948</v>
      </c>
      <c r="AE34" s="12">
        <v>17.75</v>
      </c>
      <c r="AF34" s="12" t="s">
        <v>32</v>
      </c>
      <c r="AG34" s="12" t="s">
        <v>32</v>
      </c>
      <c r="AH34" s="12" t="s">
        <v>32</v>
      </c>
      <c r="AI34" s="12" t="s">
        <v>32</v>
      </c>
      <c r="AJ34" s="12" t="s">
        <v>32</v>
      </c>
      <c r="AK34" s="12" t="s">
        <v>32</v>
      </c>
      <c r="AL34" s="12" t="s">
        <v>32</v>
      </c>
      <c r="AM34" s="11">
        <v>3025</v>
      </c>
      <c r="AN34" s="12">
        <v>0.15</v>
      </c>
      <c r="AO34" s="12" t="s">
        <v>32</v>
      </c>
      <c r="AP34" s="11">
        <v>698242</v>
      </c>
      <c r="AQ34" s="12">
        <v>34.630000000000003</v>
      </c>
      <c r="AR34" s="11">
        <v>2016237</v>
      </c>
      <c r="AS34" s="10" t="s">
        <v>101</v>
      </c>
    </row>
    <row r="35" spans="1:45" ht="15.75" thickBot="1">
      <c r="A35" t="s">
        <v>100</v>
      </c>
      <c r="B35">
        <v>24</v>
      </c>
      <c r="C35" s="1">
        <v>87306</v>
      </c>
      <c r="D35" s="1">
        <v>22855</v>
      </c>
      <c r="E35" s="1">
        <v>29746</v>
      </c>
      <c r="F35">
        <v>88</v>
      </c>
      <c r="G35">
        <v>249</v>
      </c>
      <c r="H35" s="1">
        <v>1265</v>
      </c>
      <c r="I35">
        <v>84</v>
      </c>
      <c r="J35">
        <v>137</v>
      </c>
      <c r="K35" s="1">
        <v>141730</v>
      </c>
      <c r="L35" s="1"/>
      <c r="M35" t="s">
        <v>100</v>
      </c>
      <c r="N35" s="20">
        <v>87407</v>
      </c>
      <c r="O35" s="20">
        <v>29177</v>
      </c>
      <c r="P35" s="21">
        <v>837</v>
      </c>
      <c r="Q35" s="21">
        <v>52</v>
      </c>
      <c r="R35" s="21">
        <v>85</v>
      </c>
      <c r="S35" s="20">
        <v>24172</v>
      </c>
      <c r="T35" s="20">
        <f t="shared" si="0"/>
        <v>141730</v>
      </c>
      <c r="U35" s="20"/>
      <c r="V35" s="5" t="s">
        <v>102</v>
      </c>
      <c r="W35" s="6">
        <v>10</v>
      </c>
      <c r="X35" s="45">
        <v>226242</v>
      </c>
      <c r="Y35" s="8">
        <v>42.82</v>
      </c>
      <c r="Z35" s="8" t="s">
        <v>32</v>
      </c>
      <c r="AA35" s="45">
        <v>255798</v>
      </c>
      <c r="AB35" s="8">
        <v>48.41</v>
      </c>
      <c r="AC35" s="8">
        <v>10</v>
      </c>
      <c r="AD35" s="7">
        <v>46375</v>
      </c>
      <c r="AE35" s="8">
        <v>8.7799999999999994</v>
      </c>
      <c r="AF35" s="8" t="s">
        <v>32</v>
      </c>
      <c r="AG35" s="8" t="s">
        <v>32</v>
      </c>
      <c r="AH35" s="8" t="s">
        <v>32</v>
      </c>
      <c r="AI35" s="8" t="s">
        <v>32</v>
      </c>
      <c r="AJ35" s="8" t="s">
        <v>32</v>
      </c>
      <c r="AK35" s="8" t="s">
        <v>32</v>
      </c>
      <c r="AL35" s="8" t="s">
        <v>32</v>
      </c>
      <c r="AM35" s="8" t="s">
        <v>32</v>
      </c>
      <c r="AN35" s="8" t="s">
        <v>32</v>
      </c>
      <c r="AO35" s="8" t="s">
        <v>32</v>
      </c>
      <c r="AP35" s="7">
        <v>-29556</v>
      </c>
      <c r="AQ35" s="8">
        <v>-5.59</v>
      </c>
      <c r="AR35" s="7">
        <v>528415</v>
      </c>
      <c r="AS35" s="6" t="s">
        <v>103</v>
      </c>
    </row>
    <row r="36" spans="1:45" ht="15.75" thickBot="1">
      <c r="A36" t="s">
        <v>102</v>
      </c>
      <c r="B36">
        <v>10</v>
      </c>
      <c r="C36" s="1">
        <v>21692</v>
      </c>
      <c r="D36" s="1">
        <v>18114</v>
      </c>
      <c r="E36" s="1">
        <v>5737</v>
      </c>
      <c r="F36">
        <v>20</v>
      </c>
      <c r="G36">
        <v>22</v>
      </c>
      <c r="H36">
        <v>241</v>
      </c>
      <c r="I36">
        <v>22</v>
      </c>
      <c r="J36">
        <v>20</v>
      </c>
      <c r="K36" s="1">
        <v>45868</v>
      </c>
      <c r="L36" s="1"/>
      <c r="M36" t="s">
        <v>102</v>
      </c>
      <c r="N36" s="20">
        <v>18750</v>
      </c>
      <c r="O36" s="20">
        <v>18888</v>
      </c>
      <c r="P36" s="21">
        <v>347</v>
      </c>
      <c r="Q36" s="21">
        <v>16</v>
      </c>
      <c r="R36" s="21">
        <v>5</v>
      </c>
      <c r="S36" s="20">
        <v>7862</v>
      </c>
      <c r="T36" s="20">
        <f t="shared" si="0"/>
        <v>45868</v>
      </c>
      <c r="U36" s="20"/>
      <c r="V36" s="9" t="s">
        <v>104</v>
      </c>
      <c r="W36" s="10">
        <v>5</v>
      </c>
      <c r="X36" s="46">
        <v>142579</v>
      </c>
      <c r="Y36" s="12">
        <v>51.01</v>
      </c>
      <c r="Z36" s="12">
        <v>5</v>
      </c>
      <c r="AA36" s="46">
        <v>67589</v>
      </c>
      <c r="AB36" s="12">
        <v>24.18</v>
      </c>
      <c r="AC36" s="12" t="s">
        <v>32</v>
      </c>
      <c r="AD36" s="11">
        <v>68403</v>
      </c>
      <c r="AE36" s="12">
        <v>24.47</v>
      </c>
      <c r="AF36" s="12" t="s">
        <v>32</v>
      </c>
      <c r="AG36" s="12" t="s">
        <v>32</v>
      </c>
      <c r="AH36" s="12" t="s">
        <v>32</v>
      </c>
      <c r="AI36" s="12" t="s">
        <v>32</v>
      </c>
      <c r="AJ36" s="12" t="s">
        <v>32</v>
      </c>
      <c r="AK36" s="12" t="s">
        <v>32</v>
      </c>
      <c r="AL36" s="12" t="s">
        <v>32</v>
      </c>
      <c r="AM36" s="12">
        <v>917</v>
      </c>
      <c r="AN36" s="12">
        <v>0.33</v>
      </c>
      <c r="AO36" s="12" t="s">
        <v>32</v>
      </c>
      <c r="AP36" s="11">
        <v>74176</v>
      </c>
      <c r="AQ36" s="12">
        <v>26.54</v>
      </c>
      <c r="AR36" s="11">
        <v>279488</v>
      </c>
      <c r="AS36" s="10" t="s">
        <v>105</v>
      </c>
    </row>
    <row r="37" spans="1:45" ht="15.75" thickBot="1">
      <c r="A37" t="s">
        <v>104</v>
      </c>
      <c r="B37">
        <v>5</v>
      </c>
      <c r="C37" s="1">
        <v>18478</v>
      </c>
      <c r="D37" s="1">
        <v>5246</v>
      </c>
      <c r="E37" s="1">
        <v>8752</v>
      </c>
      <c r="F37">
        <v>16</v>
      </c>
      <c r="G37">
        <v>65</v>
      </c>
      <c r="H37">
        <v>256</v>
      </c>
      <c r="I37">
        <v>11</v>
      </c>
      <c r="J37">
        <v>50</v>
      </c>
      <c r="K37" s="1">
        <v>32874</v>
      </c>
      <c r="L37" s="1"/>
      <c r="M37" t="s">
        <v>104</v>
      </c>
      <c r="N37" s="20">
        <v>20252</v>
      </c>
      <c r="O37" s="21">
        <v>6127</v>
      </c>
      <c r="P37" s="21">
        <v>211</v>
      </c>
      <c r="Q37" s="21">
        <v>13</v>
      </c>
      <c r="R37" s="21">
        <v>62</v>
      </c>
      <c r="S37" s="20">
        <v>6209</v>
      </c>
      <c r="T37" s="20">
        <f t="shared" si="0"/>
        <v>32874</v>
      </c>
      <c r="U37" s="20"/>
      <c r="V37" s="9" t="s">
        <v>106</v>
      </c>
      <c r="W37" s="10">
        <v>38</v>
      </c>
      <c r="X37" s="46">
        <v>1401481</v>
      </c>
      <c r="Y37" s="12">
        <v>65.34</v>
      </c>
      <c r="Z37" s="12">
        <v>38</v>
      </c>
      <c r="AA37" s="46">
        <v>409192</v>
      </c>
      <c r="AB37" s="12">
        <v>19.079999999999998</v>
      </c>
      <c r="AC37" s="12" t="s">
        <v>32</v>
      </c>
      <c r="AD37" s="11">
        <v>307567</v>
      </c>
      <c r="AE37" s="12">
        <v>14.34</v>
      </c>
      <c r="AF37" s="12" t="s">
        <v>32</v>
      </c>
      <c r="AG37" s="11">
        <v>9779</v>
      </c>
      <c r="AH37" s="12">
        <v>0.46</v>
      </c>
      <c r="AI37" s="12" t="s">
        <v>32</v>
      </c>
      <c r="AJ37" s="11">
        <v>2735</v>
      </c>
      <c r="AK37" s="12">
        <v>0.13</v>
      </c>
      <c r="AL37" s="12" t="s">
        <v>32</v>
      </c>
      <c r="AM37" s="12">
        <v>634</v>
      </c>
      <c r="AN37" s="12">
        <v>0.03</v>
      </c>
      <c r="AO37" s="12" t="s">
        <v>32</v>
      </c>
      <c r="AP37" s="11">
        <v>992289</v>
      </c>
      <c r="AQ37" s="12">
        <v>46.26</v>
      </c>
      <c r="AR37" s="11">
        <v>2144850</v>
      </c>
      <c r="AS37" s="10" t="s">
        <v>107</v>
      </c>
    </row>
    <row r="38" spans="1:45" ht="15.75" thickBot="1">
      <c r="A38" t="s">
        <v>106</v>
      </c>
      <c r="B38">
        <v>38</v>
      </c>
      <c r="C38" s="1">
        <v>84166</v>
      </c>
      <c r="D38" s="1">
        <v>17890</v>
      </c>
      <c r="E38" s="1">
        <v>25328</v>
      </c>
      <c r="F38">
        <v>121</v>
      </c>
      <c r="G38">
        <v>273</v>
      </c>
      <c r="H38" s="1">
        <v>2016</v>
      </c>
      <c r="I38">
        <v>68</v>
      </c>
      <c r="J38">
        <v>320</v>
      </c>
      <c r="K38" s="1">
        <v>130182</v>
      </c>
      <c r="L38" s="1"/>
      <c r="M38" t="s">
        <v>108</v>
      </c>
      <c r="N38" s="20">
        <v>84462</v>
      </c>
      <c r="O38" s="20">
        <v>18134</v>
      </c>
      <c r="P38" s="21">
        <v>843</v>
      </c>
      <c r="Q38" s="21">
        <v>167</v>
      </c>
      <c r="R38" s="21">
        <v>392</v>
      </c>
      <c r="S38" s="20">
        <v>26184</v>
      </c>
      <c r="T38" s="20">
        <f t="shared" si="0"/>
        <v>130182</v>
      </c>
      <c r="U38" s="20"/>
      <c r="V38" s="9" t="s">
        <v>109</v>
      </c>
      <c r="W38" s="10">
        <v>5</v>
      </c>
      <c r="X38" s="46">
        <v>125286</v>
      </c>
      <c r="Y38" s="12">
        <v>59.63</v>
      </c>
      <c r="Z38" s="12">
        <v>5</v>
      </c>
      <c r="AA38" s="46">
        <v>76606</v>
      </c>
      <c r="AB38" s="12">
        <v>36.46</v>
      </c>
      <c r="AC38" s="12" t="s">
        <v>32</v>
      </c>
      <c r="AD38" s="11">
        <v>7628</v>
      </c>
      <c r="AE38" s="12">
        <v>3.63</v>
      </c>
      <c r="AF38" s="12" t="s">
        <v>32</v>
      </c>
      <c r="AG38" s="12" t="s">
        <v>32</v>
      </c>
      <c r="AH38" s="12" t="s">
        <v>32</v>
      </c>
      <c r="AI38" s="12" t="s">
        <v>32</v>
      </c>
      <c r="AJ38" s="12">
        <v>289</v>
      </c>
      <c r="AK38" s="12">
        <v>0.14000000000000001</v>
      </c>
      <c r="AL38" s="12" t="s">
        <v>32</v>
      </c>
      <c r="AM38" s="12">
        <v>268</v>
      </c>
      <c r="AN38" s="12">
        <v>0.13</v>
      </c>
      <c r="AO38" s="12" t="s">
        <v>32</v>
      </c>
      <c r="AP38" s="11">
        <v>48680</v>
      </c>
      <c r="AQ38" s="12">
        <v>23.17</v>
      </c>
      <c r="AR38" s="11">
        <v>210115</v>
      </c>
      <c r="AS38" s="10" t="s">
        <v>110</v>
      </c>
    </row>
    <row r="39" spans="1:45" ht="15.75" thickBot="1">
      <c r="A39" t="s">
        <v>109</v>
      </c>
      <c r="B39">
        <v>5</v>
      </c>
      <c r="C39" s="1">
        <v>12331</v>
      </c>
      <c r="D39" s="1">
        <v>1631</v>
      </c>
      <c r="E39" s="1">
        <v>1536</v>
      </c>
      <c r="F39">
        <v>7</v>
      </c>
      <c r="G39">
        <v>35</v>
      </c>
      <c r="H39">
        <v>15</v>
      </c>
      <c r="I39">
        <v>7</v>
      </c>
      <c r="J39">
        <v>45</v>
      </c>
      <c r="K39" s="1">
        <v>15607</v>
      </c>
      <c r="L39" s="1"/>
      <c r="M39" t="s">
        <v>109</v>
      </c>
      <c r="N39" s="20">
        <v>10997</v>
      </c>
      <c r="O39" s="20">
        <v>1700</v>
      </c>
      <c r="P39" s="21">
        <v>76</v>
      </c>
      <c r="Q39" s="21">
        <v>6</v>
      </c>
      <c r="R39" s="21">
        <v>12</v>
      </c>
      <c r="S39" s="20">
        <v>2816</v>
      </c>
      <c r="T39" s="20">
        <f t="shared" si="0"/>
        <v>15607</v>
      </c>
      <c r="U39" s="20"/>
      <c r="V39" s="5" t="s">
        <v>111</v>
      </c>
      <c r="W39" s="6">
        <v>9</v>
      </c>
      <c r="X39" s="45">
        <v>1123</v>
      </c>
      <c r="Y39" s="8">
        <v>2.21</v>
      </c>
      <c r="Z39" s="8" t="s">
        <v>32</v>
      </c>
      <c r="AA39" s="45">
        <v>49008</v>
      </c>
      <c r="AB39" s="8">
        <v>96.56</v>
      </c>
      <c r="AC39" s="8">
        <v>9</v>
      </c>
      <c r="AD39" s="8">
        <v>620</v>
      </c>
      <c r="AE39" s="8">
        <v>1.22</v>
      </c>
      <c r="AF39" s="8" t="s">
        <v>32</v>
      </c>
      <c r="AG39" s="8" t="s">
        <v>32</v>
      </c>
      <c r="AH39" s="8" t="s">
        <v>32</v>
      </c>
      <c r="AI39" s="8" t="s">
        <v>32</v>
      </c>
      <c r="AJ39" s="8" t="s">
        <v>32</v>
      </c>
      <c r="AK39" s="8" t="s">
        <v>32</v>
      </c>
      <c r="AL39" s="8" t="s">
        <v>32</v>
      </c>
      <c r="AM39" s="8" t="s">
        <v>32</v>
      </c>
      <c r="AN39" s="8" t="s">
        <v>32</v>
      </c>
      <c r="AO39" s="8" t="s">
        <v>32</v>
      </c>
      <c r="AP39" s="7">
        <v>-47885</v>
      </c>
      <c r="AQ39" s="8">
        <v>-94.35</v>
      </c>
      <c r="AR39" s="7">
        <v>50752</v>
      </c>
      <c r="AS39" s="6" t="s">
        <v>112</v>
      </c>
    </row>
    <row r="40" spans="1:45" ht="15.75" thickBot="1">
      <c r="A40" t="s">
        <v>111</v>
      </c>
      <c r="B40">
        <v>9</v>
      </c>
      <c r="C40" s="1">
        <v>1516</v>
      </c>
      <c r="D40" s="1">
        <v>12105</v>
      </c>
      <c r="E40">
        <v>714</v>
      </c>
      <c r="F40">
        <v>4</v>
      </c>
      <c r="G40">
        <v>4</v>
      </c>
      <c r="H40">
        <v>32</v>
      </c>
      <c r="I40">
        <v>9</v>
      </c>
      <c r="J40">
        <v>16</v>
      </c>
      <c r="K40" s="1">
        <v>14400</v>
      </c>
      <c r="L40" s="1"/>
      <c r="M40" t="s">
        <v>111</v>
      </c>
      <c r="N40" s="21">
        <v>914</v>
      </c>
      <c r="O40" s="20">
        <v>11206</v>
      </c>
      <c r="P40" s="21">
        <v>4</v>
      </c>
      <c r="Q40" s="21">
        <v>0</v>
      </c>
      <c r="R40" s="21">
        <v>2</v>
      </c>
      <c r="S40" s="20">
        <v>2274</v>
      </c>
      <c r="T40" s="20">
        <f t="shared" si="0"/>
        <v>14400</v>
      </c>
      <c r="U40" s="20"/>
      <c r="V40" s="9" t="s">
        <v>113</v>
      </c>
      <c r="W40" s="10">
        <v>5</v>
      </c>
      <c r="X40" s="46">
        <v>101299</v>
      </c>
      <c r="Y40" s="12">
        <v>49.69</v>
      </c>
      <c r="Z40" s="12">
        <v>5</v>
      </c>
      <c r="AA40" s="46">
        <v>27214</v>
      </c>
      <c r="AB40" s="12">
        <v>13.35</v>
      </c>
      <c r="AC40" s="12" t="s">
        <v>32</v>
      </c>
      <c r="AD40" s="11">
        <v>75355</v>
      </c>
      <c r="AE40" s="12">
        <v>36.96</v>
      </c>
      <c r="AF40" s="12" t="s">
        <v>32</v>
      </c>
      <c r="AG40" s="12" t="s">
        <v>32</v>
      </c>
      <c r="AH40" s="12" t="s">
        <v>32</v>
      </c>
      <c r="AI40" s="12" t="s">
        <v>32</v>
      </c>
      <c r="AJ40" s="12" t="s">
        <v>32</v>
      </c>
      <c r="AK40" s="12" t="s">
        <v>32</v>
      </c>
      <c r="AL40" s="12" t="s">
        <v>32</v>
      </c>
      <c r="AM40" s="12" t="s">
        <v>32</v>
      </c>
      <c r="AN40" s="12" t="s">
        <v>32</v>
      </c>
      <c r="AO40" s="12" t="s">
        <v>32</v>
      </c>
      <c r="AP40" s="11">
        <v>25944</v>
      </c>
      <c r="AQ40" s="12">
        <v>12.73</v>
      </c>
      <c r="AR40" s="11">
        <v>203868</v>
      </c>
      <c r="AS40" s="10" t="s">
        <v>114</v>
      </c>
    </row>
    <row r="41" spans="1:45" ht="15.75" thickBot="1">
      <c r="A41" t="s">
        <v>113</v>
      </c>
      <c r="B41">
        <v>5</v>
      </c>
      <c r="C41" s="1">
        <v>7274</v>
      </c>
      <c r="D41" s="1">
        <v>1602</v>
      </c>
      <c r="E41" s="1">
        <v>5324</v>
      </c>
      <c r="F41">
        <v>11</v>
      </c>
      <c r="G41">
        <v>23</v>
      </c>
      <c r="H41">
        <v>114</v>
      </c>
      <c r="I41">
        <v>15</v>
      </c>
      <c r="J41">
        <v>10</v>
      </c>
      <c r="K41" s="1">
        <v>14373</v>
      </c>
      <c r="L41" s="1"/>
      <c r="M41" t="s">
        <v>113</v>
      </c>
      <c r="N41" s="20">
        <v>9323</v>
      </c>
      <c r="O41" s="20">
        <v>2011</v>
      </c>
      <c r="P41" s="21">
        <v>21</v>
      </c>
      <c r="Q41" s="21">
        <v>107</v>
      </c>
      <c r="R41" s="21">
        <v>14</v>
      </c>
      <c r="S41" s="20">
        <v>2897</v>
      </c>
      <c r="T41" s="20">
        <f t="shared" si="0"/>
        <v>14373</v>
      </c>
      <c r="U41" s="20"/>
      <c r="V41" s="5" t="s">
        <v>115</v>
      </c>
      <c r="W41" s="6">
        <v>12</v>
      </c>
      <c r="X41" s="45">
        <v>130882</v>
      </c>
      <c r="Y41" s="8">
        <v>43.59</v>
      </c>
      <c r="Z41" s="8" t="s">
        <v>32</v>
      </c>
      <c r="AA41" s="45">
        <v>158537</v>
      </c>
      <c r="AB41" s="8">
        <v>52.8</v>
      </c>
      <c r="AC41" s="8">
        <v>12</v>
      </c>
      <c r="AD41" s="7">
        <v>10656</v>
      </c>
      <c r="AE41" s="8">
        <v>3.55</v>
      </c>
      <c r="AF41" s="8" t="s">
        <v>32</v>
      </c>
      <c r="AG41" s="8">
        <v>100</v>
      </c>
      <c r="AH41" s="8">
        <v>0.03</v>
      </c>
      <c r="AI41" s="8" t="s">
        <v>32</v>
      </c>
      <c r="AJ41" s="8" t="s">
        <v>32</v>
      </c>
      <c r="AK41" s="8" t="s">
        <v>32</v>
      </c>
      <c r="AL41" s="8" t="s">
        <v>32</v>
      </c>
      <c r="AM41" s="8" t="s">
        <v>32</v>
      </c>
      <c r="AN41" s="8" t="s">
        <v>32</v>
      </c>
      <c r="AO41" s="8" t="s">
        <v>32</v>
      </c>
      <c r="AP41" s="7">
        <v>-27655</v>
      </c>
      <c r="AQ41" s="8">
        <v>-9.2100000000000009</v>
      </c>
      <c r="AR41" s="7">
        <v>300275</v>
      </c>
      <c r="AS41" s="6" t="s">
        <v>116</v>
      </c>
    </row>
    <row r="42" spans="1:45" ht="15.75" thickBot="1">
      <c r="A42" t="s">
        <v>115</v>
      </c>
      <c r="B42">
        <v>12</v>
      </c>
      <c r="C42" s="1">
        <v>12179</v>
      </c>
      <c r="D42" s="1">
        <v>16034</v>
      </c>
      <c r="E42" s="1">
        <v>2250</v>
      </c>
      <c r="F42">
        <v>15</v>
      </c>
      <c r="G42">
        <v>11</v>
      </c>
      <c r="H42">
        <v>122</v>
      </c>
      <c r="I42">
        <v>6</v>
      </c>
      <c r="J42">
        <v>30</v>
      </c>
      <c r="K42">
        <v>30647</v>
      </c>
      <c r="L42" s="1"/>
      <c r="M42" t="s">
        <v>115</v>
      </c>
      <c r="N42" s="20">
        <v>10499</v>
      </c>
      <c r="O42" s="20">
        <v>14436</v>
      </c>
      <c r="P42" s="21">
        <v>51</v>
      </c>
      <c r="Q42" s="21">
        <v>3</v>
      </c>
      <c r="R42" s="21">
        <v>16</v>
      </c>
      <c r="S42" s="20">
        <v>5642</v>
      </c>
      <c r="T42" s="20">
        <f t="shared" si="0"/>
        <v>30647</v>
      </c>
      <c r="U42" s="1"/>
      <c r="V42" s="5" t="s">
        <v>117</v>
      </c>
      <c r="W42" s="6">
        <v>20</v>
      </c>
      <c r="X42" s="45">
        <v>130023</v>
      </c>
      <c r="Y42" s="8">
        <v>19.78</v>
      </c>
      <c r="Z42" s="8" t="s">
        <v>32</v>
      </c>
      <c r="AA42" s="45">
        <v>484605</v>
      </c>
      <c r="AB42" s="8">
        <v>73.7</v>
      </c>
      <c r="AC42" s="8">
        <v>20</v>
      </c>
      <c r="AD42" s="7">
        <v>42881</v>
      </c>
      <c r="AE42" s="8">
        <v>6.52</v>
      </c>
      <c r="AF42" s="8" t="s">
        <v>32</v>
      </c>
      <c r="AG42" s="8" t="s">
        <v>32</v>
      </c>
      <c r="AH42" s="8" t="s">
        <v>32</v>
      </c>
      <c r="AI42" s="8" t="s">
        <v>32</v>
      </c>
      <c r="AJ42" s="8" t="s">
        <v>32</v>
      </c>
      <c r="AK42" s="8" t="s">
        <v>32</v>
      </c>
      <c r="AL42" s="8" t="s">
        <v>32</v>
      </c>
      <c r="AM42" s="8" t="s">
        <v>32</v>
      </c>
      <c r="AN42" s="8" t="s">
        <v>32</v>
      </c>
      <c r="AO42" s="8" t="s">
        <v>32</v>
      </c>
      <c r="AP42" s="7">
        <v>-354582</v>
      </c>
      <c r="AQ42" s="8">
        <v>-53.93</v>
      </c>
      <c r="AR42" s="7">
        <v>657509</v>
      </c>
      <c r="AS42" s="6" t="s">
        <v>118</v>
      </c>
    </row>
    <row r="43" spans="1:45" ht="15.75" thickBot="1">
      <c r="A43" t="s">
        <v>117</v>
      </c>
      <c r="B43">
        <v>20</v>
      </c>
      <c r="C43" s="1">
        <v>24890</v>
      </c>
      <c r="D43" s="1">
        <v>39648</v>
      </c>
      <c r="E43" s="1">
        <v>8848</v>
      </c>
      <c r="F43">
        <v>50</v>
      </c>
      <c r="G43">
        <v>62</v>
      </c>
      <c r="H43">
        <v>302</v>
      </c>
      <c r="I43">
        <v>37</v>
      </c>
      <c r="J43">
        <v>65</v>
      </c>
      <c r="K43" s="1">
        <v>73902</v>
      </c>
      <c r="L43" s="1"/>
      <c r="M43" t="s">
        <v>117</v>
      </c>
      <c r="N43" s="20">
        <v>15361</v>
      </c>
      <c r="O43" s="20">
        <v>45046</v>
      </c>
      <c r="P43" s="21">
        <v>263</v>
      </c>
      <c r="Q43" s="21">
        <v>10</v>
      </c>
      <c r="R43" s="21">
        <v>22</v>
      </c>
      <c r="S43" s="20">
        <v>13200</v>
      </c>
      <c r="T43" s="20">
        <f t="shared" si="0"/>
        <v>73902</v>
      </c>
      <c r="U43" s="20"/>
      <c r="V43" s="9" t="s">
        <v>119</v>
      </c>
      <c r="W43" s="10">
        <v>4</v>
      </c>
      <c r="X43" s="46">
        <v>77327</v>
      </c>
      <c r="Y43" s="12">
        <v>49.26</v>
      </c>
      <c r="Z43" s="12">
        <v>4</v>
      </c>
      <c r="AA43" s="46">
        <v>47001</v>
      </c>
      <c r="AB43" s="12">
        <v>29.94</v>
      </c>
      <c r="AC43" s="12" t="s">
        <v>32</v>
      </c>
      <c r="AD43" s="11">
        <v>32662</v>
      </c>
      <c r="AE43" s="12">
        <v>20.81</v>
      </c>
      <c r="AF43" s="12" t="s">
        <v>32</v>
      </c>
      <c r="AG43" s="12" t="s">
        <v>32</v>
      </c>
      <c r="AH43" s="12" t="s">
        <v>32</v>
      </c>
      <c r="AI43" s="12" t="s">
        <v>32</v>
      </c>
      <c r="AJ43" s="12" t="s">
        <v>32</v>
      </c>
      <c r="AK43" s="12" t="s">
        <v>32</v>
      </c>
      <c r="AL43" s="12" t="s">
        <v>32</v>
      </c>
      <c r="AM43" s="12" t="s">
        <v>32</v>
      </c>
      <c r="AN43" s="12" t="s">
        <v>32</v>
      </c>
      <c r="AO43" s="12" t="s">
        <v>32</v>
      </c>
      <c r="AP43" s="11">
        <v>30326</v>
      </c>
      <c r="AQ43" s="12">
        <v>19.32</v>
      </c>
      <c r="AR43" s="11">
        <v>156990</v>
      </c>
      <c r="AS43" s="10" t="s">
        <v>120</v>
      </c>
    </row>
    <row r="44" spans="1:45" ht="15.75" thickBot="1">
      <c r="A44" t="s">
        <v>119</v>
      </c>
      <c r="B44">
        <v>4</v>
      </c>
      <c r="C44" s="1">
        <v>5929</v>
      </c>
      <c r="D44" s="1">
        <v>2293</v>
      </c>
      <c r="E44" s="1">
        <v>2821</v>
      </c>
      <c r="F44">
        <v>4</v>
      </c>
      <c r="G44">
        <v>15</v>
      </c>
      <c r="H44">
        <v>10</v>
      </c>
      <c r="I44">
        <v>2</v>
      </c>
      <c r="J44">
        <v>11</v>
      </c>
      <c r="K44" s="1">
        <v>11085</v>
      </c>
      <c r="L44" s="1"/>
      <c r="M44" t="s">
        <v>119</v>
      </c>
      <c r="N44" s="20">
        <v>6103</v>
      </c>
      <c r="O44" s="20">
        <v>2608</v>
      </c>
      <c r="P44" s="21">
        <v>86</v>
      </c>
      <c r="Q44" s="21">
        <v>36</v>
      </c>
      <c r="R44" s="21">
        <v>5</v>
      </c>
      <c r="S44" s="20">
        <v>2247</v>
      </c>
      <c r="T44" s="20">
        <f t="shared" si="0"/>
        <v>11085</v>
      </c>
      <c r="U44" s="20"/>
      <c r="V44" s="9" t="s">
        <v>121</v>
      </c>
      <c r="W44" s="10">
        <v>4</v>
      </c>
      <c r="X44" s="46">
        <v>80498</v>
      </c>
      <c r="Y44" s="12">
        <v>78.22</v>
      </c>
      <c r="Z44" s="12">
        <v>4</v>
      </c>
      <c r="AA44" s="46">
        <v>16124</v>
      </c>
      <c r="AB44" s="12">
        <v>15.67</v>
      </c>
      <c r="AC44" s="12" t="s">
        <v>32</v>
      </c>
      <c r="AD44" s="11">
        <v>5964</v>
      </c>
      <c r="AE44" s="12">
        <v>5.79</v>
      </c>
      <c r="AF44" s="12" t="s">
        <v>32</v>
      </c>
      <c r="AG44" s="12">
        <v>326</v>
      </c>
      <c r="AH44" s="12">
        <v>0.32</v>
      </c>
      <c r="AI44" s="12" t="s">
        <v>32</v>
      </c>
      <c r="AJ44" s="12" t="s">
        <v>32</v>
      </c>
      <c r="AK44" s="12" t="s">
        <v>32</v>
      </c>
      <c r="AL44" s="12" t="s">
        <v>32</v>
      </c>
      <c r="AM44" s="12" t="s">
        <v>32</v>
      </c>
      <c r="AN44" s="12" t="s">
        <v>32</v>
      </c>
      <c r="AO44" s="12" t="s">
        <v>32</v>
      </c>
      <c r="AP44" s="11">
        <v>64374</v>
      </c>
      <c r="AQ44" s="12">
        <v>62.55</v>
      </c>
      <c r="AR44" s="11">
        <v>102917</v>
      </c>
      <c r="AS44" s="10" t="s">
        <v>122</v>
      </c>
    </row>
    <row r="45" spans="1:45" ht="15.75" thickBot="1">
      <c r="A45" t="s">
        <v>121</v>
      </c>
      <c r="B45">
        <v>4</v>
      </c>
      <c r="C45" s="1">
        <v>8647</v>
      </c>
      <c r="D45">
        <v>865</v>
      </c>
      <c r="E45">
        <v>971</v>
      </c>
      <c r="F45">
        <v>2</v>
      </c>
      <c r="G45">
        <v>5</v>
      </c>
      <c r="H45">
        <v>25</v>
      </c>
      <c r="I45">
        <v>5</v>
      </c>
      <c r="J45">
        <v>25</v>
      </c>
      <c r="K45" s="1">
        <v>10545</v>
      </c>
      <c r="L45" s="1"/>
      <c r="M45" t="s">
        <v>121</v>
      </c>
      <c r="N45" s="20">
        <v>7517</v>
      </c>
      <c r="O45" s="21">
        <v>950</v>
      </c>
      <c r="P45" s="21">
        <v>18</v>
      </c>
      <c r="Q45" s="21">
        <v>3</v>
      </c>
      <c r="R45" s="21">
        <v>15</v>
      </c>
      <c r="S45" s="20">
        <v>2042</v>
      </c>
      <c r="T45" s="20">
        <f t="shared" si="0"/>
        <v>10545</v>
      </c>
      <c r="U45" s="20"/>
      <c r="V45" s="5" t="s">
        <v>123</v>
      </c>
      <c r="W45" s="6">
        <v>12</v>
      </c>
      <c r="X45" s="45">
        <v>73312</v>
      </c>
      <c r="Y45" s="8">
        <v>32.79</v>
      </c>
      <c r="Z45" s="8" t="s">
        <v>32</v>
      </c>
      <c r="AA45" s="45">
        <v>139716</v>
      </c>
      <c r="AB45" s="8">
        <v>62.48</v>
      </c>
      <c r="AC45" s="8">
        <v>12</v>
      </c>
      <c r="AD45" s="7">
        <v>10377</v>
      </c>
      <c r="AE45" s="8">
        <v>4.6399999999999997</v>
      </c>
      <c r="AF45" s="8" t="s">
        <v>32</v>
      </c>
      <c r="AG45" s="8" t="s">
        <v>32</v>
      </c>
      <c r="AH45" s="8" t="s">
        <v>32</v>
      </c>
      <c r="AI45" s="8" t="s">
        <v>32</v>
      </c>
      <c r="AJ45" s="8" t="s">
        <v>32</v>
      </c>
      <c r="AK45" s="8" t="s">
        <v>32</v>
      </c>
      <c r="AL45" s="8" t="s">
        <v>32</v>
      </c>
      <c r="AM45" s="8">
        <v>197</v>
      </c>
      <c r="AN45" s="8">
        <v>0.09</v>
      </c>
      <c r="AO45" s="8" t="s">
        <v>32</v>
      </c>
      <c r="AP45" s="7">
        <v>-66404</v>
      </c>
      <c r="AQ45" s="8">
        <v>-29.7</v>
      </c>
      <c r="AR45" s="7">
        <v>223602</v>
      </c>
      <c r="AS45" s="6" t="s">
        <v>124</v>
      </c>
    </row>
    <row r="46" spans="1:45" ht="15.75" thickBot="1">
      <c r="A46" t="s">
        <v>123</v>
      </c>
      <c r="B46">
        <v>12</v>
      </c>
      <c r="C46" s="1">
        <v>12365</v>
      </c>
      <c r="D46" s="1">
        <v>20615</v>
      </c>
      <c r="E46" s="1">
        <v>3339</v>
      </c>
      <c r="F46">
        <v>16</v>
      </c>
      <c r="G46">
        <v>53</v>
      </c>
      <c r="H46">
        <v>195</v>
      </c>
      <c r="I46">
        <v>11</v>
      </c>
      <c r="J46">
        <v>31</v>
      </c>
      <c r="K46" s="1">
        <v>36625</v>
      </c>
      <c r="L46" s="1"/>
      <c r="M46" t="s">
        <v>123</v>
      </c>
      <c r="N46" s="20">
        <v>10475</v>
      </c>
      <c r="O46" s="20">
        <v>19749</v>
      </c>
      <c r="P46" s="21">
        <v>72</v>
      </c>
      <c r="Q46" s="21">
        <v>17</v>
      </c>
      <c r="R46" s="21">
        <v>19</v>
      </c>
      <c r="S46" s="20">
        <v>6293</v>
      </c>
      <c r="T46" s="20">
        <f t="shared" si="0"/>
        <v>36625</v>
      </c>
      <c r="U46" s="20"/>
      <c r="V46" s="9" t="s">
        <v>125</v>
      </c>
      <c r="W46" s="10">
        <v>7</v>
      </c>
      <c r="X46" s="46">
        <v>220224</v>
      </c>
      <c r="Y46" s="12">
        <v>52.24</v>
      </c>
      <c r="Z46" s="12">
        <v>7</v>
      </c>
      <c r="AA46" s="46">
        <v>42842</v>
      </c>
      <c r="AB46" s="12">
        <v>10.16</v>
      </c>
      <c r="AC46" s="12" t="s">
        <v>32</v>
      </c>
      <c r="AD46" s="11">
        <v>150727</v>
      </c>
      <c r="AE46" s="12">
        <v>35.76</v>
      </c>
      <c r="AF46" s="12" t="s">
        <v>32</v>
      </c>
      <c r="AG46" s="12" t="s">
        <v>32</v>
      </c>
      <c r="AH46" s="12" t="s">
        <v>32</v>
      </c>
      <c r="AI46" s="12" t="s">
        <v>32</v>
      </c>
      <c r="AJ46" s="12">
        <v>761</v>
      </c>
      <c r="AK46" s="12">
        <v>0.18</v>
      </c>
      <c r="AL46" s="12" t="s">
        <v>32</v>
      </c>
      <c r="AM46" s="11">
        <v>1004</v>
      </c>
      <c r="AN46" s="12">
        <v>0.24</v>
      </c>
      <c r="AO46" s="12" t="s">
        <v>32</v>
      </c>
      <c r="AP46" s="11">
        <v>69497</v>
      </c>
      <c r="AQ46" s="12">
        <v>16.489999999999998</v>
      </c>
      <c r="AR46" s="11">
        <v>421549</v>
      </c>
      <c r="AS46" s="10" t="s">
        <v>126</v>
      </c>
    </row>
    <row r="47" spans="1:45" ht="15.75" thickBot="1">
      <c r="A47" t="s">
        <v>125</v>
      </c>
      <c r="B47">
        <v>7</v>
      </c>
      <c r="C47" s="1">
        <v>26039</v>
      </c>
      <c r="D47" s="1">
        <v>4692</v>
      </c>
      <c r="E47" s="1">
        <v>16351</v>
      </c>
      <c r="F47">
        <v>24</v>
      </c>
      <c r="G47">
        <v>100</v>
      </c>
      <c r="H47">
        <v>488</v>
      </c>
      <c r="I47">
        <v>26</v>
      </c>
      <c r="J47">
        <v>138</v>
      </c>
      <c r="K47" s="1">
        <v>47858</v>
      </c>
      <c r="L47" s="1"/>
      <c r="M47" t="s">
        <v>125</v>
      </c>
      <c r="N47" s="20">
        <v>29453</v>
      </c>
      <c r="O47" s="20">
        <v>7651</v>
      </c>
      <c r="P47" s="21">
        <v>320</v>
      </c>
      <c r="Q47" s="21">
        <v>651</v>
      </c>
      <c r="R47" s="21">
        <v>64</v>
      </c>
      <c r="S47" s="20">
        <v>9719</v>
      </c>
      <c r="T47" s="20">
        <f t="shared" si="0"/>
        <v>47858</v>
      </c>
      <c r="U47" s="20"/>
      <c r="V47" s="9" t="s">
        <v>127</v>
      </c>
      <c r="W47" s="10">
        <v>8</v>
      </c>
      <c r="X47" s="46">
        <v>288635</v>
      </c>
      <c r="Y47" s="12">
        <v>49.45</v>
      </c>
      <c r="Z47" s="12">
        <v>8</v>
      </c>
      <c r="AA47" s="46">
        <v>257232</v>
      </c>
      <c r="AB47" s="12">
        <v>44.07</v>
      </c>
      <c r="AC47" s="12" t="s">
        <v>32</v>
      </c>
      <c r="AD47" s="11">
        <v>36723</v>
      </c>
      <c r="AE47" s="12">
        <v>6.29</v>
      </c>
      <c r="AF47" s="12" t="s">
        <v>32</v>
      </c>
      <c r="AG47" s="12" t="s">
        <v>32</v>
      </c>
      <c r="AH47" s="12" t="s">
        <v>32</v>
      </c>
      <c r="AI47" s="12" t="s">
        <v>32</v>
      </c>
      <c r="AJ47" s="12" t="s">
        <v>32</v>
      </c>
      <c r="AK47" s="12" t="s">
        <v>32</v>
      </c>
      <c r="AL47" s="12" t="s">
        <v>32</v>
      </c>
      <c r="AM47" s="12" t="s">
        <v>32</v>
      </c>
      <c r="AN47" s="12" t="s">
        <v>32</v>
      </c>
      <c r="AO47" s="12" t="s">
        <v>32</v>
      </c>
      <c r="AP47" s="11">
        <v>31403</v>
      </c>
      <c r="AQ47" s="12">
        <v>5.38</v>
      </c>
      <c r="AR47" s="11">
        <v>583662</v>
      </c>
      <c r="AS47" s="10" t="s">
        <v>128</v>
      </c>
    </row>
    <row r="48" spans="1:45" ht="15.75" thickBot="1">
      <c r="A48" t="s">
        <v>127</v>
      </c>
      <c r="B48">
        <v>8</v>
      </c>
      <c r="C48" s="1">
        <v>15550</v>
      </c>
      <c r="D48" s="1">
        <v>12176</v>
      </c>
      <c r="E48" s="1">
        <v>2141</v>
      </c>
      <c r="F48">
        <v>10</v>
      </c>
      <c r="G48">
        <v>23</v>
      </c>
      <c r="H48">
        <v>167</v>
      </c>
      <c r="I48">
        <v>3</v>
      </c>
      <c r="J48">
        <v>15</v>
      </c>
      <c r="K48" s="1">
        <v>30085</v>
      </c>
      <c r="L48" s="1"/>
      <c r="M48" t="s">
        <v>127</v>
      </c>
      <c r="N48" s="20">
        <v>15211</v>
      </c>
      <c r="O48" s="20">
        <v>9906</v>
      </c>
      <c r="P48" s="21">
        <v>92</v>
      </c>
      <c r="Q48" s="21">
        <v>12</v>
      </c>
      <c r="R48" s="21">
        <v>21</v>
      </c>
      <c r="S48" s="20">
        <v>4843</v>
      </c>
      <c r="T48" s="20">
        <f t="shared" si="0"/>
        <v>30085</v>
      </c>
      <c r="U48" s="20"/>
      <c r="V48" s="13" t="s">
        <v>129</v>
      </c>
      <c r="W48" s="14">
        <v>13</v>
      </c>
      <c r="X48" s="47">
        <v>311614</v>
      </c>
      <c r="Y48" s="16">
        <v>37.06</v>
      </c>
      <c r="Z48" s="16" t="s">
        <v>32</v>
      </c>
      <c r="AA48" s="47">
        <v>68115</v>
      </c>
      <c r="AB48" s="16">
        <v>8.1</v>
      </c>
      <c r="AC48" s="16" t="s">
        <v>32</v>
      </c>
      <c r="AD48" s="15">
        <v>453678</v>
      </c>
      <c r="AE48" s="16">
        <v>53.96</v>
      </c>
      <c r="AF48" s="16">
        <v>13</v>
      </c>
      <c r="AG48" s="15">
        <v>2918</v>
      </c>
      <c r="AH48" s="16">
        <v>0.35</v>
      </c>
      <c r="AI48" s="16" t="s">
        <v>32</v>
      </c>
      <c r="AJ48" s="15">
        <v>3773</v>
      </c>
      <c r="AK48" s="16">
        <v>0.45</v>
      </c>
      <c r="AL48" s="16" t="s">
        <v>32</v>
      </c>
      <c r="AM48" s="16">
        <v>458</v>
      </c>
      <c r="AN48" s="16">
        <v>0.05</v>
      </c>
      <c r="AO48" s="16" t="s">
        <v>32</v>
      </c>
      <c r="AP48" s="15">
        <v>-142064</v>
      </c>
      <c r="AQ48" s="16">
        <v>-16.899999999999999</v>
      </c>
      <c r="AR48" s="15">
        <v>840826</v>
      </c>
      <c r="AS48" s="14" t="s">
        <v>130</v>
      </c>
    </row>
    <row r="49" spans="1:45" ht="15.75" thickBot="1">
      <c r="A49" t="s">
        <v>129</v>
      </c>
      <c r="B49">
        <v>13</v>
      </c>
      <c r="C49" s="1">
        <v>30005</v>
      </c>
      <c r="D49" s="1">
        <v>5059</v>
      </c>
      <c r="E49" s="1">
        <v>39305</v>
      </c>
      <c r="F49">
        <v>52</v>
      </c>
      <c r="G49">
        <v>144</v>
      </c>
      <c r="H49">
        <v>198</v>
      </c>
      <c r="I49">
        <v>29</v>
      </c>
      <c r="J49">
        <v>143</v>
      </c>
      <c r="K49" s="1">
        <v>74935</v>
      </c>
      <c r="L49" s="1"/>
      <c r="M49" t="s">
        <v>129</v>
      </c>
      <c r="N49" s="20">
        <v>45892</v>
      </c>
      <c r="O49" s="20">
        <v>9126</v>
      </c>
      <c r="P49" s="20">
        <v>1016</v>
      </c>
      <c r="Q49" s="21">
        <v>29</v>
      </c>
      <c r="R49" s="21">
        <v>208</v>
      </c>
      <c r="S49" s="20">
        <v>18664</v>
      </c>
      <c r="T49" s="20">
        <f t="shared" si="0"/>
        <v>74935</v>
      </c>
      <c r="U49" s="20"/>
      <c r="V49" s="9" t="s">
        <v>131</v>
      </c>
      <c r="W49" s="10">
        <v>3</v>
      </c>
      <c r="X49" s="46">
        <v>41858</v>
      </c>
      <c r="Y49" s="12">
        <v>52.39</v>
      </c>
      <c r="Z49" s="12">
        <v>3</v>
      </c>
      <c r="AA49" s="46">
        <v>12868</v>
      </c>
      <c r="AB49" s="12">
        <v>16.11</v>
      </c>
      <c r="AC49" s="12" t="s">
        <v>32</v>
      </c>
      <c r="AD49" s="11">
        <v>25174</v>
      </c>
      <c r="AE49" s="12">
        <v>31.51</v>
      </c>
      <c r="AF49" s="12" t="s">
        <v>32</v>
      </c>
      <c r="AG49" s="12" t="s">
        <v>32</v>
      </c>
      <c r="AH49" s="12" t="s">
        <v>32</v>
      </c>
      <c r="AI49" s="12" t="s">
        <v>32</v>
      </c>
      <c r="AJ49" s="12" t="s">
        <v>32</v>
      </c>
      <c r="AK49" s="12" t="s">
        <v>32</v>
      </c>
      <c r="AL49" s="12" t="s">
        <v>32</v>
      </c>
      <c r="AM49" s="12" t="s">
        <v>32</v>
      </c>
      <c r="AN49" s="12" t="s">
        <v>32</v>
      </c>
      <c r="AO49" s="12" t="s">
        <v>32</v>
      </c>
      <c r="AP49" s="11">
        <v>16684</v>
      </c>
      <c r="AQ49" s="12">
        <v>20.88</v>
      </c>
      <c r="AR49" s="11">
        <v>79900</v>
      </c>
      <c r="AS49" s="10" t="s">
        <v>132</v>
      </c>
    </row>
    <row r="50" spans="1:45" ht="15.75" thickBot="1">
      <c r="A50" t="s">
        <v>131</v>
      </c>
      <c r="B50">
        <v>3</v>
      </c>
      <c r="C50" s="1">
        <v>3416</v>
      </c>
      <c r="D50">
        <v>743</v>
      </c>
      <c r="E50" s="1">
        <v>1578</v>
      </c>
      <c r="F50">
        <v>5</v>
      </c>
      <c r="G50">
        <v>9</v>
      </c>
      <c r="H50">
        <v>18</v>
      </c>
      <c r="I50">
        <v>7</v>
      </c>
      <c r="J50">
        <v>34</v>
      </c>
      <c r="K50" s="1">
        <v>5810</v>
      </c>
      <c r="L50" s="1"/>
      <c r="M50" t="s">
        <v>131</v>
      </c>
      <c r="N50" s="20">
        <v>3466</v>
      </c>
      <c r="O50" s="20">
        <v>1220</v>
      </c>
      <c r="P50" s="21">
        <v>22</v>
      </c>
      <c r="Q50" s="21">
        <v>8</v>
      </c>
      <c r="R50" s="21">
        <v>3</v>
      </c>
      <c r="S50" s="20">
        <v>1091</v>
      </c>
      <c r="T50" s="20">
        <f t="shared" si="0"/>
        <v>5810</v>
      </c>
      <c r="U50" s="20"/>
      <c r="V50" s="9"/>
      <c r="W50" s="10"/>
      <c r="X50" s="10"/>
      <c r="Y50" s="12"/>
      <c r="Z50" s="12"/>
      <c r="AA50" s="10"/>
      <c r="AB50" s="12"/>
      <c r="AC50" s="12"/>
      <c r="AD50" s="11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1"/>
      <c r="AS50" s="10"/>
    </row>
    <row r="51" spans="1:45" ht="15.75" thickBot="1">
      <c r="A51" t="s">
        <v>133</v>
      </c>
      <c r="C51" s="1">
        <v>15008</v>
      </c>
      <c r="D51" s="1">
        <v>9350</v>
      </c>
      <c r="E51" s="1">
        <v>8511</v>
      </c>
      <c r="F51">
        <v>27</v>
      </c>
      <c r="G51">
        <v>70</v>
      </c>
      <c r="H51">
        <v>225</v>
      </c>
      <c r="I51">
        <v>25</v>
      </c>
      <c r="J51">
        <v>119</v>
      </c>
      <c r="K51">
        <v>33335</v>
      </c>
      <c r="L51" s="1"/>
      <c r="M51" t="s">
        <v>133</v>
      </c>
      <c r="N51" s="21">
        <v>13724</v>
      </c>
      <c r="O51" s="20">
        <v>8256</v>
      </c>
      <c r="P51" s="21">
        <v>128</v>
      </c>
      <c r="Q51" s="21">
        <v>44</v>
      </c>
      <c r="R51" s="21">
        <v>30</v>
      </c>
      <c r="S51" s="20">
        <v>11153</v>
      </c>
      <c r="T51" s="20">
        <f t="shared" si="0"/>
        <v>33335</v>
      </c>
      <c r="U51" s="20"/>
      <c r="V51" s="17" t="s">
        <v>134</v>
      </c>
      <c r="W51" s="17">
        <v>531</v>
      </c>
      <c r="X51" s="18">
        <v>15723789</v>
      </c>
      <c r="Y51" s="17">
        <v>54.04</v>
      </c>
      <c r="Z51" s="17">
        <v>382</v>
      </c>
      <c r="AA51" s="18">
        <v>8386242</v>
      </c>
      <c r="AB51" s="17">
        <v>28.82</v>
      </c>
      <c r="AC51" s="17">
        <v>136</v>
      </c>
      <c r="AD51" s="18">
        <v>4831706</v>
      </c>
      <c r="AE51" s="17">
        <v>16.61</v>
      </c>
      <c r="AF51" s="17">
        <v>13</v>
      </c>
      <c r="AG51" s="18">
        <v>55951</v>
      </c>
      <c r="AH51" s="17">
        <v>0.19</v>
      </c>
      <c r="AI51" s="17" t="s">
        <v>32</v>
      </c>
      <c r="AJ51" s="18">
        <v>38669</v>
      </c>
      <c r="AK51" s="17">
        <v>0.13</v>
      </c>
      <c r="AL51" s="17" t="s">
        <v>32</v>
      </c>
      <c r="AM51" s="18">
        <v>28633</v>
      </c>
      <c r="AN51" s="17">
        <v>0.1</v>
      </c>
      <c r="AO51" s="17" t="s">
        <v>32</v>
      </c>
      <c r="AP51" s="18">
        <v>7337547</v>
      </c>
      <c r="AQ51" s="17">
        <v>25.22</v>
      </c>
      <c r="AR51" s="18">
        <v>29097107</v>
      </c>
      <c r="AS51" s="19" t="s">
        <v>135</v>
      </c>
    </row>
    <row r="52" spans="1:45">
      <c r="A52" s="3"/>
      <c r="B52">
        <v>531</v>
      </c>
      <c r="C52" s="1">
        <v>1348033</v>
      </c>
      <c r="D52" s="1">
        <v>505410</v>
      </c>
      <c r="E52" s="1">
        <v>508516</v>
      </c>
      <c r="F52" s="1">
        <v>1636</v>
      </c>
      <c r="G52" s="1">
        <v>4743</v>
      </c>
      <c r="H52" s="1">
        <v>12524</v>
      </c>
      <c r="I52" s="1">
        <v>1174</v>
      </c>
      <c r="J52" s="1">
        <v>4016</v>
      </c>
      <c r="K52" s="1">
        <v>2386052</v>
      </c>
      <c r="L52" s="59"/>
      <c r="M52" s="3"/>
      <c r="N52" s="1">
        <v>1337738</v>
      </c>
      <c r="O52" s="1">
        <v>566866</v>
      </c>
      <c r="P52" s="1">
        <v>15890</v>
      </c>
      <c r="Q52" s="1">
        <v>3530</v>
      </c>
      <c r="R52" s="1">
        <v>3046</v>
      </c>
      <c r="S52" s="1">
        <v>458982</v>
      </c>
      <c r="T52" s="20">
        <f t="shared" si="0"/>
        <v>2386052</v>
      </c>
      <c r="U52" s="1"/>
    </row>
    <row r="53" spans="1:45">
      <c r="L53" s="59"/>
    </row>
    <row r="54" spans="1:45">
      <c r="N54" s="2"/>
      <c r="O54" s="1"/>
      <c r="P54" s="1"/>
      <c r="Q54" s="1"/>
      <c r="R54" s="1"/>
      <c r="S54" s="1"/>
      <c r="T54" s="1"/>
      <c r="U54" s="1"/>
    </row>
    <row r="55" spans="1:45">
      <c r="C55" s="1"/>
      <c r="D55" s="1"/>
      <c r="E55" s="1"/>
      <c r="F55" s="1"/>
      <c r="G55" s="1"/>
      <c r="H55" s="1"/>
      <c r="I55" s="1"/>
      <c r="J55" s="1"/>
      <c r="K55" s="1"/>
      <c r="L55" s="5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5">
      <c r="C56" s="1"/>
      <c r="D56" s="1"/>
      <c r="E56" s="1"/>
      <c r="F56" s="1"/>
      <c r="G56" s="1"/>
      <c r="H56" s="1"/>
      <c r="I56" s="1"/>
      <c r="J56" s="1"/>
      <c r="K56" s="1"/>
      <c r="L56" s="59"/>
      <c r="U56" s="1"/>
      <c r="V56" s="1"/>
      <c r="W56" s="1"/>
      <c r="X56" s="1"/>
    </row>
    <row r="57" spans="1:45">
      <c r="C57" s="1"/>
      <c r="D57" s="1"/>
      <c r="E57" s="1"/>
      <c r="F57" s="1"/>
      <c r="G57" s="1"/>
      <c r="H57" s="1"/>
      <c r="I57" s="1"/>
      <c r="J57" s="1"/>
      <c r="K57" s="1"/>
      <c r="L57" s="59"/>
      <c r="U57" s="1"/>
      <c r="V57" s="1"/>
      <c r="W57" s="1"/>
      <c r="X57" s="59"/>
    </row>
  </sheetData>
  <hyperlinks>
    <hyperlink ref="V3" r:id="rId1" tooltip="1924 United States presidential election in Arizona" display="https://en.wikipedia.org/wiki/1924_United_States_presidential_election_in_Arizona" xr:uid="{BE814549-A998-4461-B8E1-4B35BEAFA9CA}"/>
    <hyperlink ref="V4" r:id="rId2" tooltip="1924 United States presidential election in Arkansas" display="https://en.wikipedia.org/wiki/1924_United_States_presidential_election_in_Arkansas" xr:uid="{FEF9E9B7-2BCF-4070-AD5F-B390172CD9F4}"/>
    <hyperlink ref="V5" r:id="rId3" tooltip="1924 United States presidential election in California" display="https://en.wikipedia.org/wiki/1924_United_States_presidential_election_in_California" xr:uid="{2717BA9F-3557-4A3A-8717-EBE950262A75}"/>
    <hyperlink ref="V6" r:id="rId4" tooltip="1924 United States presidential election in Colorado" display="https://en.wikipedia.org/wiki/1924_United_States_presidential_election_in_Colorado" xr:uid="{0209DA97-D285-4944-99CD-8E752C203EC2}"/>
    <hyperlink ref="V7" r:id="rId5" tooltip="1924 United States presidential election in Connecticut" display="https://en.wikipedia.org/wiki/1924_United_States_presidential_election_in_Connecticut" xr:uid="{26AE22EA-9A70-44E3-AE01-00679F304631}"/>
    <hyperlink ref="V8" r:id="rId6" tooltip="1924 United States presidential election in Delaware" display="https://en.wikipedia.org/wiki/1924_United_States_presidential_election_in_Delaware" xr:uid="{E97C8EE4-5D58-4DCD-8737-6E1EC089CC6B}"/>
    <hyperlink ref="V9" r:id="rId7" tooltip="1924 United States presidential election in Florida" display="https://en.wikipedia.org/wiki/1924_United_States_presidential_election_in_Florida" xr:uid="{E92A698B-080F-45FE-A49C-E591D2CE094E}"/>
    <hyperlink ref="V10" r:id="rId8" tooltip="1924 United States presidential election in Georgia" display="https://en.wikipedia.org/wiki/1924_United_States_presidential_election_in_Georgia" xr:uid="{AA567D7E-E703-4729-B053-8C69E9772F26}"/>
    <hyperlink ref="V11" r:id="rId9" tooltip="1924 United States presidential election in Idaho" display="https://en.wikipedia.org/wiki/1924_United_States_presidential_election_in_Idaho" xr:uid="{5629424F-4CC8-46EE-9E61-3C42D7744768}"/>
    <hyperlink ref="V12" r:id="rId10" tooltip="1924 United States presidential election in Illinois" display="https://en.wikipedia.org/wiki/1924_United_States_presidential_election_in_Illinois" xr:uid="{F1A9E3FF-A37F-432B-AEF9-1D3DAF421C0B}"/>
    <hyperlink ref="V13" r:id="rId11" tooltip="1924 United States presidential election in Indiana" display="https://en.wikipedia.org/wiki/1924_United_States_presidential_election_in_Indiana" xr:uid="{88E1104B-5935-4AD0-AC9F-C0FC280E6537}"/>
    <hyperlink ref="V14" r:id="rId12" tooltip="1924 United States presidential election in Iowa" display="https://en.wikipedia.org/wiki/1924_United_States_presidential_election_in_Iowa" xr:uid="{097367FA-9BFF-4EAB-90A5-AF1A481ED104}"/>
    <hyperlink ref="V15" r:id="rId13" tooltip="1924 United States presidential election in Kansas" display="https://en.wikipedia.org/wiki/1924_United_States_presidential_election_in_Kansas" xr:uid="{C002349A-CEBD-4219-9286-AD76A9D4CA13}"/>
    <hyperlink ref="V16" r:id="rId14" tooltip="1924 United States presidential election in Kentucky" display="https://en.wikipedia.org/wiki/1924_United_States_presidential_election_in_Kentucky" xr:uid="{9EF63B44-3A01-45E5-AC06-BB034809FA51}"/>
    <hyperlink ref="V17" r:id="rId15" tooltip="1924 United States presidential election in Louisiana" display="https://en.wikipedia.org/wiki/1924_United_States_presidential_election_in_Louisiana" xr:uid="{28A6B82F-45AA-4F15-81C9-69D4F74DD42E}"/>
    <hyperlink ref="V18" r:id="rId16" tooltip="1924 United States presidential election in Maine" display="https://en.wikipedia.org/wiki/1924_United_States_presidential_election_in_Maine" xr:uid="{DDBCF218-44E6-42D8-BE17-9CCDEF5718F7}"/>
    <hyperlink ref="V19" r:id="rId17" tooltip="1924 United States presidential election in Maryland" display="https://en.wikipedia.org/wiki/1924_United_States_presidential_election_in_Maryland" xr:uid="{FFD2A39F-7440-47DD-88A6-2BFBD199F34F}"/>
    <hyperlink ref="V20" r:id="rId18" tooltip="1924 United States presidential election in Massachusetts" display="https://en.wikipedia.org/wiki/1924_United_States_presidential_election_in_Massachusetts" xr:uid="{B19F3FA4-E000-40D0-8211-579E57D32B28}"/>
    <hyperlink ref="V21" r:id="rId19" tooltip="1924 United States presidential election in Michigan" display="https://en.wikipedia.org/wiki/1924_United_States_presidential_election_in_Michigan" xr:uid="{EF637662-2B09-4DB3-A970-EF9B7313A738}"/>
    <hyperlink ref="V22" r:id="rId20" tooltip="1924 United States presidential election in Minnesota" display="https://en.wikipedia.org/wiki/1924_United_States_presidential_election_in_Minnesota" xr:uid="{E2552F73-D9F9-4799-B3BE-9CCDDF075E5F}"/>
    <hyperlink ref="V23" r:id="rId21" tooltip="1924 United States presidential election in Mississippi" display="https://en.wikipedia.org/wiki/1924_United_States_presidential_election_in_Mississippi" xr:uid="{61F24424-ED7F-427F-AE0E-35C9C8BED054}"/>
    <hyperlink ref="V24" r:id="rId22" tooltip="1924 United States presidential election in Missouri" display="https://en.wikipedia.org/wiki/1924_United_States_presidential_election_in_Missouri" xr:uid="{75294B36-47B0-4CE7-BA05-8E6CC73A6A43}"/>
    <hyperlink ref="V25" r:id="rId23" tooltip="1924 United States presidential election in Montana" display="https://en.wikipedia.org/wiki/1924_United_States_presidential_election_in_Montana" xr:uid="{CD121F62-478C-4158-BA27-4D0637B00B55}"/>
    <hyperlink ref="V26" r:id="rId24" tooltip="1924 United States presidential election in Nebraska" display="https://en.wikipedia.org/wiki/1924_United_States_presidential_election_in_Nebraska" xr:uid="{A270535B-BEB3-470E-947A-0F8EB16CD62C}"/>
    <hyperlink ref="V27" r:id="rId25" tooltip="1924 United States presidential election in Nevada" display="https://en.wikipedia.org/wiki/1924_United_States_presidential_election_in_Nevada" xr:uid="{ED5FBA8F-4725-4CBA-AC84-5630DF751EFF}"/>
    <hyperlink ref="V28" r:id="rId26" tooltip="1924 United States presidential election in New Hampshire" display="https://en.wikipedia.org/wiki/1924_United_States_presidential_election_in_New_Hampshire" xr:uid="{99915B24-26DF-425E-9025-9F273CC7D3C2}"/>
    <hyperlink ref="V29" r:id="rId27" tooltip="1924 United States presidential election in New Jersey" display="https://en.wikipedia.org/wiki/1924_United_States_presidential_election_in_New_Jersey" xr:uid="{B73BAA70-9D4F-41F3-AB9F-78B6B9092F04}"/>
    <hyperlink ref="V30" r:id="rId28" tooltip="1924 United States presidential election in New Mexico" display="https://en.wikipedia.org/wiki/1924_United_States_presidential_election_in_New_Mexico" xr:uid="{C4D9F4A4-FD75-466D-9A83-6A6B12763EE5}"/>
    <hyperlink ref="V31" r:id="rId29" tooltip="1924 United States presidential election in New York" display="https://en.wikipedia.org/wiki/1924_United_States_presidential_election_in_New_York" xr:uid="{4D99B4DC-B68E-407F-AC14-20BEDDF87DAC}"/>
    <hyperlink ref="V32" r:id="rId30" tooltip="1924 United States presidential election in North Carolina" display="https://en.wikipedia.org/wiki/1924_United_States_presidential_election_in_North_Carolina" xr:uid="{36CDD3AE-B7EB-49F4-AC01-DDD4EA3AE14A}"/>
    <hyperlink ref="V33" r:id="rId31" tooltip="1924 United States presidential election in North Dakota" display="https://en.wikipedia.org/wiki/1924_United_States_presidential_election_in_North_Dakota" xr:uid="{B2C14F71-E849-4185-B2F4-D0B82BBE2412}"/>
    <hyperlink ref="V34" r:id="rId32" tooltip="1924 United States presidential election in Ohio" display="https://en.wikipedia.org/wiki/1924_United_States_presidential_election_in_Ohio" xr:uid="{A339D21C-20A6-4256-814A-900D496E176D}"/>
    <hyperlink ref="V35" r:id="rId33" tooltip="1924 United States presidential election in Oklahoma" display="https://en.wikipedia.org/wiki/1924_United_States_presidential_election_in_Oklahoma" xr:uid="{74FB9CA0-EF4C-462B-A6C2-A14EACDD9D07}"/>
    <hyperlink ref="V36" r:id="rId34" tooltip="1924 United States presidential election in Oregon" display="https://en.wikipedia.org/wiki/1924_United_States_presidential_election_in_Oregon" xr:uid="{D445A383-124F-4349-AC50-BBFFF0EDF7E0}"/>
    <hyperlink ref="V37" r:id="rId35" tooltip="1924 United States presidential election in Pennsylvania" display="https://en.wikipedia.org/wiki/1924_United_States_presidential_election_in_Pennsylvania" xr:uid="{42D7170B-1768-46EC-A5EE-A5D5C3718DC6}"/>
    <hyperlink ref="V38" r:id="rId36" tooltip="1924 United States presidential election in Rhode Island" display="https://en.wikipedia.org/wiki/1924_United_States_presidential_election_in_Rhode_Island" xr:uid="{667B42D9-A88A-4F62-ACF9-C1AC0D129802}"/>
    <hyperlink ref="V39" r:id="rId37" tooltip="1924 United States presidential election in South Carolina" display="https://en.wikipedia.org/wiki/1924_United_States_presidential_election_in_South_Carolina" xr:uid="{8A6F5EA3-D121-4FFA-87E2-32CBE035E1C5}"/>
    <hyperlink ref="V40" r:id="rId38" tooltip="1924 United States presidential election in South Dakota" display="https://en.wikipedia.org/wiki/1924_United_States_presidential_election_in_South_Dakota" xr:uid="{B61267D9-EC25-4EA1-A9FD-4258998415E3}"/>
    <hyperlink ref="V41" r:id="rId39" tooltip="1924 United States presidential election in Tennessee" display="https://en.wikipedia.org/wiki/1924_United_States_presidential_election_in_Tennessee" xr:uid="{57E93169-FC8D-455D-B6FF-EA36F2F2CC1C}"/>
    <hyperlink ref="V42" r:id="rId40" tooltip="1924 United States presidential election in Texas" display="https://en.wikipedia.org/wiki/1924_United_States_presidential_election_in_Texas" xr:uid="{54D64758-3CD7-4C79-8683-31B1F0DB8C32}"/>
    <hyperlink ref="V43" r:id="rId41" tooltip="1924 United States presidential election in Utah" display="https://en.wikipedia.org/wiki/1924_United_States_presidential_election_in_Utah" xr:uid="{5F2DCDA9-0A66-4082-A159-3E72B0904F87}"/>
    <hyperlink ref="V44" r:id="rId42" tooltip="1924 United States presidential election in Vermont" display="https://en.wikipedia.org/wiki/1924_United_States_presidential_election_in_Vermont" xr:uid="{1D34FE50-2561-45ED-BA3A-E1BF69A1FB6A}"/>
    <hyperlink ref="V45" r:id="rId43" tooltip="1924 United States presidential election in Virginia" display="https://en.wikipedia.org/wiki/1924_United_States_presidential_election_in_Virginia" xr:uid="{E7FF1889-9931-482F-8198-2EC1E1A22EAD}"/>
    <hyperlink ref="V46" r:id="rId44" tooltip="1924 United States presidential election in Washington (state)" display="https://en.wikipedia.org/wiki/1924_United_States_presidential_election_in_Washington_(state)" xr:uid="{30812D8F-64D2-4284-A0F9-88003C51DFDA}"/>
    <hyperlink ref="V47" r:id="rId45" tooltip="1924 United States presidential election in West Virginia" display="https://en.wikipedia.org/wiki/1924_United_States_presidential_election_in_West_Virginia" xr:uid="{5B548F30-1C66-4C3B-9A7A-8AA5C07EFA58}"/>
    <hyperlink ref="V48" r:id="rId46" tooltip="1924 United States presidential election in Wisconsin" display="https://en.wikipedia.org/wiki/1924_United_States_presidential_election_in_Wisconsin" xr:uid="{FE3AB05E-D876-4B08-B84C-700CCA62453E}"/>
    <hyperlink ref="V49" r:id="rId47" tooltip="1924 United States presidential election in Wyoming" display="https://en.wikipedia.org/wiki/1924_United_States_presidential_election_in_Wyoming" xr:uid="{7CB5B498-D833-41CB-9B4C-F31CF6F9846B}"/>
    <hyperlink ref="V2" r:id="rId48" tooltip="1924 United States presidential election in Alabama" display="https://en.wikipedia.org/wiki/1924_United_States_presidential_election_in_Alabama" xr:uid="{79EE887B-70E9-40A4-9026-CB0A9D47C78A}"/>
  </hyperlinks>
  <pageMargins left="0.7" right="0.7" top="0.75" bottom="0.75" header="0.3" footer="0.3"/>
  <pageSetup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D8D3-E48B-40A6-BFAE-4BD967D20524}">
  <dimension ref="A1:AU57"/>
  <sheetViews>
    <sheetView workbookViewId="0">
      <selection activeCell="X3" sqref="X3"/>
    </sheetView>
  </sheetViews>
  <sheetFormatPr defaultColWidth="8.85546875" defaultRowHeight="15"/>
  <cols>
    <col min="3" max="3" width="11.42578125" customWidth="1"/>
    <col min="25" max="25" width="9.140625" customWidth="1"/>
    <col min="26" max="26" width="15.28515625" customWidth="1"/>
    <col min="27" max="27" width="7.140625" customWidth="1"/>
    <col min="28" max="28" width="13.28515625" bestFit="1" customWidth="1"/>
    <col min="31" max="31" width="10.42578125" customWidth="1"/>
    <col min="45" max="45" width="11.85546875" customWidth="1"/>
  </cols>
  <sheetData>
    <row r="1" spans="1:47" ht="15" customHeight="1" thickBot="1">
      <c r="C1" s="4" t="s">
        <v>136</v>
      </c>
      <c r="D1" s="67" t="s">
        <v>137</v>
      </c>
      <c r="E1" s="67"/>
      <c r="F1" s="67"/>
      <c r="G1" s="67"/>
      <c r="H1" s="67"/>
      <c r="I1" s="67"/>
      <c r="K1" s="4" t="s">
        <v>138</v>
      </c>
      <c r="L1" s="67" t="s">
        <v>137</v>
      </c>
      <c r="M1" s="67"/>
      <c r="N1" s="67"/>
      <c r="O1" s="67"/>
      <c r="P1" s="67"/>
      <c r="Q1" s="67"/>
      <c r="T1" s="4"/>
      <c r="U1" s="68" t="s">
        <v>139</v>
      </c>
      <c r="V1" s="68"/>
      <c r="W1" s="68"/>
      <c r="X1" s="4"/>
      <c r="Z1" s="44" t="s">
        <v>140</v>
      </c>
      <c r="AA1" s="44" t="s">
        <v>20</v>
      </c>
      <c r="AB1" s="44" t="s">
        <v>141</v>
      </c>
      <c r="AC1" s="44" t="s">
        <v>22</v>
      </c>
      <c r="AD1" s="44" t="s">
        <v>20</v>
      </c>
      <c r="AE1" s="44" t="s">
        <v>142</v>
      </c>
      <c r="AF1" s="44" t="s">
        <v>22</v>
      </c>
      <c r="AG1" s="44" t="s">
        <v>20</v>
      </c>
      <c r="AH1" s="44" t="s">
        <v>143</v>
      </c>
      <c r="AI1" s="44" t="s">
        <v>22</v>
      </c>
      <c r="AJ1" s="44" t="s">
        <v>20</v>
      </c>
      <c r="AK1" s="44" t="s">
        <v>26</v>
      </c>
      <c r="AL1" s="44" t="s">
        <v>22</v>
      </c>
      <c r="AM1" s="44" t="s">
        <v>20</v>
      </c>
      <c r="AN1" s="44" t="s">
        <v>144</v>
      </c>
      <c r="AO1" s="44" t="s">
        <v>22</v>
      </c>
      <c r="AP1" s="44" t="s">
        <v>20</v>
      </c>
      <c r="AQ1" s="44" t="s">
        <v>28</v>
      </c>
      <c r="AR1" s="44" t="s">
        <v>22</v>
      </c>
      <c r="AS1" s="44" t="s">
        <v>145</v>
      </c>
      <c r="AT1" s="44" t="s">
        <v>146</v>
      </c>
    </row>
    <row r="2" spans="1:47" ht="16.5" thickBot="1">
      <c r="B2" t="s">
        <v>1</v>
      </c>
      <c r="C2" s="2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K2" s="22" t="s">
        <v>147</v>
      </c>
      <c r="L2" t="s">
        <v>148</v>
      </c>
      <c r="M2" t="s">
        <v>149</v>
      </c>
      <c r="N2" t="s">
        <v>154</v>
      </c>
      <c r="O2" t="s">
        <v>151</v>
      </c>
      <c r="P2" t="s">
        <v>152</v>
      </c>
      <c r="Q2" t="s">
        <v>153</v>
      </c>
      <c r="T2" t="s">
        <v>146</v>
      </c>
      <c r="U2" t="s">
        <v>143</v>
      </c>
      <c r="V2" t="s">
        <v>155</v>
      </c>
      <c r="W2" t="s">
        <v>156</v>
      </c>
      <c r="X2" s="4" t="s">
        <v>157</v>
      </c>
      <c r="Z2" s="5" t="s">
        <v>31</v>
      </c>
      <c r="AA2" s="53">
        <v>12</v>
      </c>
      <c r="AB2" s="54">
        <v>120725</v>
      </c>
      <c r="AC2" s="55">
        <v>48.49</v>
      </c>
      <c r="AD2" s="55" t="s">
        <v>32</v>
      </c>
      <c r="AE2" s="54">
        <v>127797</v>
      </c>
      <c r="AF2" s="55">
        <v>51.33</v>
      </c>
      <c r="AG2" s="55">
        <v>12</v>
      </c>
      <c r="AH2" s="55">
        <v>460</v>
      </c>
      <c r="AI2" s="55">
        <v>0.18</v>
      </c>
      <c r="AJ2" s="55" t="s">
        <v>32</v>
      </c>
      <c r="AK2" s="55" t="s">
        <v>32</v>
      </c>
      <c r="AL2" s="55" t="s">
        <v>32</v>
      </c>
      <c r="AM2" s="55" t="s">
        <v>32</v>
      </c>
      <c r="AN2" s="55" t="s">
        <v>32</v>
      </c>
      <c r="AO2" s="55" t="s">
        <v>32</v>
      </c>
      <c r="AP2" s="55" t="s">
        <v>32</v>
      </c>
      <c r="AQ2" s="54">
        <v>-7072</v>
      </c>
      <c r="AR2" s="55">
        <v>-2.84</v>
      </c>
      <c r="AS2" s="54">
        <v>248982</v>
      </c>
      <c r="AT2" s="53" t="s">
        <v>33</v>
      </c>
    </row>
    <row r="3" spans="1:47" ht="16.5" thickBot="1">
      <c r="A3" t="s">
        <v>158</v>
      </c>
      <c r="B3">
        <v>12</v>
      </c>
      <c r="C3" s="23">
        <v>13997</v>
      </c>
      <c r="D3" s="1">
        <v>4351</v>
      </c>
      <c r="E3" s="1">
        <v>7221</v>
      </c>
      <c r="F3">
        <v>41</v>
      </c>
      <c r="G3" s="1">
        <v>1</v>
      </c>
      <c r="H3">
        <v>10</v>
      </c>
      <c r="I3" s="1">
        <v>2373</v>
      </c>
      <c r="J3" s="1"/>
      <c r="K3" s="23">
        <v>12298</v>
      </c>
      <c r="L3">
        <v>757</v>
      </c>
      <c r="M3" s="1">
        <v>9604</v>
      </c>
      <c r="N3">
        <v>52</v>
      </c>
      <c r="O3">
        <v>2</v>
      </c>
      <c r="P3">
        <v>2</v>
      </c>
      <c r="Q3" s="1">
        <v>1881</v>
      </c>
      <c r="R3" s="2"/>
      <c r="S3" s="2"/>
      <c r="T3" t="s">
        <v>158</v>
      </c>
      <c r="U3">
        <v>46</v>
      </c>
      <c r="V3">
        <v>27</v>
      </c>
      <c r="W3">
        <v>34</v>
      </c>
      <c r="X3" s="1">
        <f>C3+K3+SUM(U3:W3)</f>
        <v>26402</v>
      </c>
      <c r="Z3" s="9" t="s">
        <v>34</v>
      </c>
      <c r="AA3" s="56">
        <v>3</v>
      </c>
      <c r="AB3" s="57">
        <v>52533</v>
      </c>
      <c r="AC3" s="58">
        <v>57.57</v>
      </c>
      <c r="AD3" s="58">
        <v>3</v>
      </c>
      <c r="AE3" s="57">
        <v>38537</v>
      </c>
      <c r="AF3" s="58">
        <v>42.23</v>
      </c>
      <c r="AG3" s="58" t="s">
        <v>32</v>
      </c>
      <c r="AH3" s="58" t="s">
        <v>32</v>
      </c>
      <c r="AI3" s="58" t="s">
        <v>32</v>
      </c>
      <c r="AJ3" s="58" t="s">
        <v>32</v>
      </c>
      <c r="AK3" s="58">
        <v>184</v>
      </c>
      <c r="AL3" s="58">
        <v>0.2</v>
      </c>
      <c r="AM3" s="58" t="s">
        <v>32</v>
      </c>
      <c r="AN3" s="58" t="s">
        <v>32</v>
      </c>
      <c r="AO3" s="58" t="s">
        <v>32</v>
      </c>
      <c r="AP3" s="58" t="s">
        <v>32</v>
      </c>
      <c r="AQ3" s="57">
        <v>13996</v>
      </c>
      <c r="AR3" s="58">
        <v>15.34</v>
      </c>
      <c r="AS3" s="57">
        <v>91254</v>
      </c>
      <c r="AT3" s="56" t="s">
        <v>35</v>
      </c>
      <c r="AU3" s="25" t="s">
        <v>159</v>
      </c>
    </row>
    <row r="4" spans="1:47" ht="16.5" thickBot="1">
      <c r="A4" t="s">
        <v>160</v>
      </c>
      <c r="B4">
        <v>3</v>
      </c>
      <c r="C4" s="23">
        <v>3371</v>
      </c>
      <c r="D4" s="1">
        <v>1840</v>
      </c>
      <c r="E4">
        <v>936</v>
      </c>
      <c r="F4">
        <v>37</v>
      </c>
      <c r="G4">
        <v>0</v>
      </c>
      <c r="H4">
        <v>2</v>
      </c>
      <c r="I4">
        <v>556</v>
      </c>
      <c r="K4" s="23">
        <v>2250</v>
      </c>
      <c r="L4">
        <v>593</v>
      </c>
      <c r="M4" s="1">
        <v>1197</v>
      </c>
      <c r="N4">
        <v>58</v>
      </c>
      <c r="O4">
        <v>4</v>
      </c>
      <c r="P4">
        <v>0</v>
      </c>
      <c r="Q4">
        <v>398</v>
      </c>
      <c r="R4" s="2"/>
      <c r="S4" s="2"/>
      <c r="T4" t="s">
        <v>160</v>
      </c>
      <c r="U4">
        <v>21</v>
      </c>
      <c r="V4">
        <v>20</v>
      </c>
      <c r="W4">
        <v>21</v>
      </c>
      <c r="X4" s="1">
        <f t="shared" ref="X4:X52" si="0">C4+K4+SUM(U4:W4)</f>
        <v>5683</v>
      </c>
      <c r="Z4" s="5" t="s">
        <v>36</v>
      </c>
      <c r="AA4" s="53">
        <v>9</v>
      </c>
      <c r="AB4" s="54">
        <v>77751</v>
      </c>
      <c r="AC4" s="55">
        <v>39.33</v>
      </c>
      <c r="AD4" s="55" t="s">
        <v>32</v>
      </c>
      <c r="AE4" s="54">
        <v>119196</v>
      </c>
      <c r="AF4" s="55">
        <v>60.29</v>
      </c>
      <c r="AG4" s="55">
        <v>9</v>
      </c>
      <c r="AH4" s="55">
        <v>429</v>
      </c>
      <c r="AI4" s="55">
        <v>0.22</v>
      </c>
      <c r="AJ4" s="55" t="s">
        <v>32</v>
      </c>
      <c r="AK4" s="55">
        <v>317</v>
      </c>
      <c r="AL4" s="55">
        <v>0.16</v>
      </c>
      <c r="AM4" s="55" t="s">
        <v>32</v>
      </c>
      <c r="AN4" s="55" t="s">
        <v>32</v>
      </c>
      <c r="AO4" s="55" t="s">
        <v>32</v>
      </c>
      <c r="AP4" s="55" t="s">
        <v>32</v>
      </c>
      <c r="AQ4" s="54">
        <v>-41445</v>
      </c>
      <c r="AR4" s="55">
        <v>-20.96</v>
      </c>
      <c r="AS4" s="54">
        <v>197693</v>
      </c>
      <c r="AT4" s="53" t="s">
        <v>37</v>
      </c>
    </row>
    <row r="5" spans="1:47" ht="16.5" thickBot="1">
      <c r="A5" t="s">
        <v>161</v>
      </c>
      <c r="B5">
        <v>9</v>
      </c>
      <c r="C5" s="23">
        <v>11652</v>
      </c>
      <c r="D5" s="1">
        <v>4835</v>
      </c>
      <c r="E5" s="1">
        <v>5107</v>
      </c>
      <c r="F5">
        <v>44</v>
      </c>
      <c r="G5" s="1">
        <v>3</v>
      </c>
      <c r="H5">
        <v>4</v>
      </c>
      <c r="I5" s="1">
        <v>1659</v>
      </c>
      <c r="K5" s="23">
        <v>11267</v>
      </c>
      <c r="L5">
        <v>963</v>
      </c>
      <c r="M5" s="1">
        <v>8780</v>
      </c>
      <c r="N5">
        <v>70</v>
      </c>
      <c r="O5">
        <v>2</v>
      </c>
      <c r="P5">
        <v>0</v>
      </c>
      <c r="Q5" s="1">
        <v>1452</v>
      </c>
      <c r="R5" s="2"/>
      <c r="S5" s="2"/>
      <c r="T5" t="s">
        <v>161</v>
      </c>
      <c r="U5">
        <v>79</v>
      </c>
      <c r="V5">
        <v>28</v>
      </c>
      <c r="W5">
        <v>26</v>
      </c>
      <c r="X5" s="1">
        <f t="shared" si="0"/>
        <v>23052</v>
      </c>
      <c r="Z5" s="9" t="s">
        <v>38</v>
      </c>
      <c r="AA5" s="56">
        <v>13</v>
      </c>
      <c r="AB5" s="57">
        <v>1162323</v>
      </c>
      <c r="AC5" s="58">
        <v>64.69</v>
      </c>
      <c r="AD5" s="58">
        <v>13</v>
      </c>
      <c r="AE5" s="57">
        <v>614365</v>
      </c>
      <c r="AF5" s="58">
        <v>34.19</v>
      </c>
      <c r="AG5" s="58" t="s">
        <v>32</v>
      </c>
      <c r="AH5" s="57">
        <v>19595</v>
      </c>
      <c r="AI5" s="58">
        <v>1.0900000000000001</v>
      </c>
      <c r="AJ5" s="58" t="s">
        <v>32</v>
      </c>
      <c r="AK5" s="58">
        <v>112</v>
      </c>
      <c r="AL5" s="58">
        <v>0.01</v>
      </c>
      <c r="AM5" s="58" t="s">
        <v>32</v>
      </c>
      <c r="AN5" s="58" t="s">
        <v>32</v>
      </c>
      <c r="AO5" s="58" t="s">
        <v>32</v>
      </c>
      <c r="AP5" s="58" t="s">
        <v>32</v>
      </c>
      <c r="AQ5" s="57">
        <v>547958</v>
      </c>
      <c r="AR5" s="58">
        <v>30.5</v>
      </c>
      <c r="AS5" s="57">
        <v>1796656</v>
      </c>
      <c r="AT5" s="56" t="s">
        <v>39</v>
      </c>
    </row>
    <row r="6" spans="1:47" ht="16.5" thickBot="1">
      <c r="A6" t="s">
        <v>162</v>
      </c>
      <c r="B6">
        <v>13</v>
      </c>
      <c r="C6" s="23">
        <v>89103</v>
      </c>
      <c r="D6" s="1">
        <v>62283</v>
      </c>
      <c r="E6" s="1">
        <v>10686</v>
      </c>
      <c r="F6" s="1">
        <v>1113</v>
      </c>
      <c r="G6" s="1">
        <v>19</v>
      </c>
      <c r="H6">
        <v>463</v>
      </c>
      <c r="I6" s="1">
        <v>14539</v>
      </c>
      <c r="K6" s="23">
        <v>41566</v>
      </c>
      <c r="L6" s="1">
        <v>22717</v>
      </c>
      <c r="M6" s="1">
        <v>9766</v>
      </c>
      <c r="N6" s="1">
        <v>1525</v>
      </c>
      <c r="O6">
        <v>18</v>
      </c>
      <c r="P6">
        <v>38</v>
      </c>
      <c r="Q6" s="1">
        <v>7502</v>
      </c>
      <c r="R6" s="2"/>
      <c r="S6" s="2"/>
      <c r="T6" t="s">
        <v>162</v>
      </c>
      <c r="U6" s="1">
        <v>1014</v>
      </c>
      <c r="V6">
        <v>447</v>
      </c>
      <c r="W6">
        <v>434</v>
      </c>
      <c r="X6" s="1">
        <f t="shared" si="0"/>
        <v>132564</v>
      </c>
      <c r="Z6" s="9" t="s">
        <v>40</v>
      </c>
      <c r="AA6" s="56">
        <v>6</v>
      </c>
      <c r="AB6" s="57">
        <v>253872</v>
      </c>
      <c r="AC6" s="58">
        <v>64.72</v>
      </c>
      <c r="AD6" s="58">
        <v>6</v>
      </c>
      <c r="AE6" s="57">
        <v>133131</v>
      </c>
      <c r="AF6" s="58">
        <v>33.94</v>
      </c>
      <c r="AG6" s="58" t="s">
        <v>32</v>
      </c>
      <c r="AH6" s="57">
        <v>3472</v>
      </c>
      <c r="AI6" s="58">
        <v>0.89</v>
      </c>
      <c r="AJ6" s="58" t="s">
        <v>32</v>
      </c>
      <c r="AK6" s="58">
        <v>675</v>
      </c>
      <c r="AL6" s="58">
        <v>0.17</v>
      </c>
      <c r="AM6" s="58" t="s">
        <v>32</v>
      </c>
      <c r="AN6" s="58" t="s">
        <v>32</v>
      </c>
      <c r="AO6" s="58" t="s">
        <v>32</v>
      </c>
      <c r="AP6" s="58" t="s">
        <v>32</v>
      </c>
      <c r="AQ6" s="57">
        <v>120741</v>
      </c>
      <c r="AR6" s="58">
        <v>30.78</v>
      </c>
      <c r="AS6" s="57">
        <v>392242</v>
      </c>
      <c r="AT6" s="56" t="s">
        <v>41</v>
      </c>
    </row>
    <row r="7" spans="1:47" ht="16.5" thickBot="1">
      <c r="A7" t="s">
        <v>163</v>
      </c>
      <c r="B7">
        <v>6</v>
      </c>
      <c r="C7" s="23">
        <v>16800</v>
      </c>
      <c r="D7" s="1">
        <v>11236</v>
      </c>
      <c r="E7" s="1">
        <v>2627</v>
      </c>
      <c r="F7">
        <v>169</v>
      </c>
      <c r="G7" s="1">
        <v>11</v>
      </c>
      <c r="H7">
        <v>18</v>
      </c>
      <c r="I7" s="1">
        <v>2739</v>
      </c>
      <c r="K7" s="23">
        <v>6779</v>
      </c>
      <c r="L7" s="1">
        <v>2452</v>
      </c>
      <c r="M7" s="1">
        <v>2829</v>
      </c>
      <c r="N7">
        <v>237</v>
      </c>
      <c r="O7">
        <v>17</v>
      </c>
      <c r="P7">
        <v>1</v>
      </c>
      <c r="Q7">
        <v>1243</v>
      </c>
      <c r="R7" s="2"/>
      <c r="S7" s="2"/>
      <c r="T7" t="s">
        <v>163</v>
      </c>
      <c r="U7">
        <v>136</v>
      </c>
      <c r="V7">
        <v>74</v>
      </c>
      <c r="W7">
        <v>73</v>
      </c>
      <c r="X7" s="1">
        <f t="shared" si="0"/>
        <v>23862</v>
      </c>
      <c r="Z7" s="9" t="s">
        <v>42</v>
      </c>
      <c r="AA7" s="56">
        <v>7</v>
      </c>
      <c r="AB7" s="57">
        <v>296614</v>
      </c>
      <c r="AC7" s="58">
        <v>53.63</v>
      </c>
      <c r="AD7" s="58">
        <v>7</v>
      </c>
      <c r="AE7" s="57">
        <v>252040</v>
      </c>
      <c r="AF7" s="58">
        <v>45.57</v>
      </c>
      <c r="AG7" s="58" t="s">
        <v>32</v>
      </c>
      <c r="AH7" s="57">
        <v>3019</v>
      </c>
      <c r="AI7" s="58">
        <v>0.55000000000000004</v>
      </c>
      <c r="AJ7" s="58" t="s">
        <v>32</v>
      </c>
      <c r="AK7" s="58">
        <v>730</v>
      </c>
      <c r="AL7" s="58">
        <v>0.13</v>
      </c>
      <c r="AM7" s="58" t="s">
        <v>32</v>
      </c>
      <c r="AN7" s="58">
        <v>622</v>
      </c>
      <c r="AO7" s="58">
        <v>0.11</v>
      </c>
      <c r="AP7" s="58" t="s">
        <v>32</v>
      </c>
      <c r="AQ7" s="57">
        <v>44574</v>
      </c>
      <c r="AR7" s="58">
        <v>8.06</v>
      </c>
      <c r="AS7" s="57">
        <v>553031</v>
      </c>
      <c r="AT7" s="56" t="s">
        <v>43</v>
      </c>
    </row>
    <row r="8" spans="1:47" ht="16.5" thickBot="1">
      <c r="A8" t="s">
        <v>164</v>
      </c>
      <c r="B8">
        <v>7</v>
      </c>
      <c r="C8" s="23">
        <v>24476</v>
      </c>
      <c r="D8" s="1">
        <v>19724</v>
      </c>
      <c r="E8" s="1">
        <v>1226</v>
      </c>
      <c r="F8">
        <v>93</v>
      </c>
      <c r="G8" s="1">
        <v>5</v>
      </c>
      <c r="H8">
        <v>18</v>
      </c>
      <c r="I8" s="1">
        <v>3410</v>
      </c>
      <c r="K8" s="23">
        <v>10915</v>
      </c>
      <c r="L8" s="1">
        <v>4665</v>
      </c>
      <c r="M8" s="1">
        <v>4225</v>
      </c>
      <c r="N8">
        <v>218</v>
      </c>
      <c r="O8">
        <v>9</v>
      </c>
      <c r="P8">
        <v>3</v>
      </c>
      <c r="Q8" s="1">
        <v>1795</v>
      </c>
      <c r="R8" s="2"/>
      <c r="S8" s="2"/>
      <c r="T8" t="s">
        <v>164</v>
      </c>
      <c r="U8">
        <v>192</v>
      </c>
      <c r="V8">
        <v>75</v>
      </c>
      <c r="W8">
        <v>26</v>
      </c>
      <c r="X8" s="1">
        <f t="shared" si="0"/>
        <v>35684</v>
      </c>
      <c r="Z8" s="9" t="s">
        <v>44</v>
      </c>
      <c r="AA8" s="56">
        <v>3</v>
      </c>
      <c r="AB8" s="57">
        <v>68860</v>
      </c>
      <c r="AC8" s="58">
        <v>65.03</v>
      </c>
      <c r="AD8" s="58">
        <v>3</v>
      </c>
      <c r="AE8" s="57">
        <v>36643</v>
      </c>
      <c r="AF8" s="58">
        <v>34.6</v>
      </c>
      <c r="AG8" s="58" t="s">
        <v>32</v>
      </c>
      <c r="AH8" s="58">
        <v>329</v>
      </c>
      <c r="AI8" s="58">
        <v>0.31</v>
      </c>
      <c r="AJ8" s="58" t="s">
        <v>32</v>
      </c>
      <c r="AK8" s="58">
        <v>59</v>
      </c>
      <c r="AL8" s="58">
        <v>0.06</v>
      </c>
      <c r="AM8" s="58" t="s">
        <v>32</v>
      </c>
      <c r="AN8" s="58" t="s">
        <v>32</v>
      </c>
      <c r="AO8" s="58" t="s">
        <v>32</v>
      </c>
      <c r="AP8" s="58" t="s">
        <v>32</v>
      </c>
      <c r="AQ8" s="57">
        <v>32217</v>
      </c>
      <c r="AR8" s="58">
        <v>30.42</v>
      </c>
      <c r="AS8" s="57">
        <v>105891</v>
      </c>
      <c r="AT8" s="56" t="s">
        <v>45</v>
      </c>
    </row>
    <row r="9" spans="1:47" ht="16.5" thickBot="1">
      <c r="A9" t="s">
        <v>165</v>
      </c>
      <c r="B9">
        <v>3</v>
      </c>
      <c r="C9" s="23">
        <v>4113</v>
      </c>
      <c r="D9" s="1">
        <v>2828</v>
      </c>
      <c r="E9">
        <v>671</v>
      </c>
      <c r="F9">
        <v>30</v>
      </c>
      <c r="G9" s="1">
        <v>0</v>
      </c>
      <c r="H9">
        <v>1</v>
      </c>
      <c r="I9">
        <v>583</v>
      </c>
      <c r="K9" s="23">
        <v>1422</v>
      </c>
      <c r="L9">
        <v>356</v>
      </c>
      <c r="M9">
        <v>803</v>
      </c>
      <c r="N9">
        <v>26</v>
      </c>
      <c r="O9">
        <v>1</v>
      </c>
      <c r="P9">
        <v>0</v>
      </c>
      <c r="Q9">
        <v>236</v>
      </c>
      <c r="R9" s="2"/>
      <c r="S9" s="2"/>
      <c r="T9" t="s">
        <v>165</v>
      </c>
      <c r="U9">
        <v>19</v>
      </c>
      <c r="V9">
        <v>4</v>
      </c>
      <c r="W9">
        <v>5</v>
      </c>
      <c r="X9" s="1">
        <f t="shared" si="0"/>
        <v>5563</v>
      </c>
      <c r="Z9" s="9" t="s">
        <v>47</v>
      </c>
      <c r="AA9" s="56">
        <v>6</v>
      </c>
      <c r="AB9" s="57">
        <v>144168</v>
      </c>
      <c r="AC9" s="58">
        <v>56.83</v>
      </c>
      <c r="AD9" s="58">
        <v>6</v>
      </c>
      <c r="AE9" s="57">
        <v>101764</v>
      </c>
      <c r="AF9" s="58">
        <v>40.119999999999997</v>
      </c>
      <c r="AG9" s="58" t="s">
        <v>32</v>
      </c>
      <c r="AH9" s="57">
        <v>4036</v>
      </c>
      <c r="AI9" s="58">
        <v>1.59</v>
      </c>
      <c r="AJ9" s="58" t="s">
        <v>32</v>
      </c>
      <c r="AK9" s="57">
        <v>3704</v>
      </c>
      <c r="AL9" s="58">
        <v>1.46</v>
      </c>
      <c r="AM9" s="58" t="s">
        <v>32</v>
      </c>
      <c r="AN9" s="58" t="s">
        <v>32</v>
      </c>
      <c r="AO9" s="58" t="s">
        <v>32</v>
      </c>
      <c r="AP9" s="58" t="s">
        <v>32</v>
      </c>
      <c r="AQ9" s="57">
        <v>42404</v>
      </c>
      <c r="AR9" s="58">
        <v>16.72</v>
      </c>
      <c r="AS9" s="57">
        <v>253672</v>
      </c>
      <c r="AT9" s="56" t="s">
        <v>48</v>
      </c>
    </row>
    <row r="10" spans="1:47" ht="16.5" thickBot="1">
      <c r="A10" t="s">
        <v>166</v>
      </c>
      <c r="C10" s="23">
        <v>3765</v>
      </c>
      <c r="D10" s="1">
        <v>1474</v>
      </c>
      <c r="E10">
        <v>489</v>
      </c>
      <c r="F10">
        <v>12</v>
      </c>
      <c r="G10" s="1">
        <v>0</v>
      </c>
      <c r="H10">
        <v>3</v>
      </c>
      <c r="I10" s="1">
        <v>1787</v>
      </c>
      <c r="K10" s="23">
        <v>2092</v>
      </c>
      <c r="L10">
        <v>525</v>
      </c>
      <c r="M10">
        <v>663</v>
      </c>
      <c r="N10">
        <v>25</v>
      </c>
      <c r="O10">
        <v>2</v>
      </c>
      <c r="P10">
        <v>0</v>
      </c>
      <c r="Q10">
        <v>877</v>
      </c>
      <c r="R10" s="2"/>
      <c r="S10" s="2"/>
      <c r="T10" t="s">
        <v>166</v>
      </c>
      <c r="U10">
        <v>60</v>
      </c>
      <c r="V10">
        <v>12</v>
      </c>
      <c r="W10">
        <v>14</v>
      </c>
      <c r="X10" s="1">
        <f t="shared" si="0"/>
        <v>5943</v>
      </c>
      <c r="Z10" s="5" t="s">
        <v>49</v>
      </c>
      <c r="AA10" s="53">
        <v>14</v>
      </c>
      <c r="AB10" s="54">
        <v>99369</v>
      </c>
      <c r="AC10" s="55">
        <v>43.36</v>
      </c>
      <c r="AD10" s="55" t="s">
        <v>32</v>
      </c>
      <c r="AE10" s="54">
        <v>129602</v>
      </c>
      <c r="AF10" s="55">
        <v>56.56</v>
      </c>
      <c r="AG10" s="55">
        <v>14</v>
      </c>
      <c r="AH10" s="55">
        <v>124</v>
      </c>
      <c r="AI10" s="55">
        <v>0.05</v>
      </c>
      <c r="AJ10" s="55" t="s">
        <v>32</v>
      </c>
      <c r="AK10" s="55">
        <v>64</v>
      </c>
      <c r="AL10" s="55">
        <v>0.03</v>
      </c>
      <c r="AM10" s="55" t="s">
        <v>32</v>
      </c>
      <c r="AN10" s="55" t="s">
        <v>32</v>
      </c>
      <c r="AO10" s="55" t="s">
        <v>32</v>
      </c>
      <c r="AP10" s="55" t="s">
        <v>32</v>
      </c>
      <c r="AQ10" s="54">
        <v>-30233</v>
      </c>
      <c r="AR10" s="55">
        <v>-13.19</v>
      </c>
      <c r="AS10" s="54">
        <v>229159</v>
      </c>
      <c r="AT10" s="53" t="s">
        <v>50</v>
      </c>
    </row>
    <row r="11" spans="1:47" ht="16.5" thickBot="1">
      <c r="A11" t="s">
        <v>167</v>
      </c>
      <c r="B11">
        <v>6</v>
      </c>
      <c r="C11" s="23">
        <v>19022</v>
      </c>
      <c r="D11" s="1">
        <v>7147</v>
      </c>
      <c r="E11" s="1">
        <v>8753</v>
      </c>
      <c r="F11">
        <v>56</v>
      </c>
      <c r="G11" s="1">
        <v>1</v>
      </c>
      <c r="H11">
        <v>18</v>
      </c>
      <c r="I11" s="1">
        <v>3047</v>
      </c>
      <c r="K11" s="23">
        <v>9951</v>
      </c>
      <c r="L11" s="1">
        <v>1715</v>
      </c>
      <c r="M11" s="1">
        <v>6567</v>
      </c>
      <c r="N11">
        <v>58</v>
      </c>
      <c r="O11">
        <v>3</v>
      </c>
      <c r="P11">
        <v>4</v>
      </c>
      <c r="Q11" s="1">
        <v>1604</v>
      </c>
      <c r="R11" s="2"/>
      <c r="S11" s="2"/>
      <c r="T11" t="s">
        <v>167</v>
      </c>
      <c r="U11">
        <v>65</v>
      </c>
      <c r="V11">
        <v>29</v>
      </c>
      <c r="W11">
        <v>33</v>
      </c>
      <c r="X11" s="1">
        <f t="shared" si="0"/>
        <v>29100</v>
      </c>
      <c r="Z11" s="9" t="s">
        <v>51</v>
      </c>
      <c r="AA11" s="56">
        <v>4</v>
      </c>
      <c r="AB11" s="57">
        <v>97322</v>
      </c>
      <c r="AC11" s="58">
        <v>64.22</v>
      </c>
      <c r="AD11" s="58">
        <v>4</v>
      </c>
      <c r="AE11" s="57">
        <v>52926</v>
      </c>
      <c r="AF11" s="58">
        <v>34.93</v>
      </c>
      <c r="AG11" s="58" t="s">
        <v>32</v>
      </c>
      <c r="AH11" s="57">
        <v>1293</v>
      </c>
      <c r="AI11" s="58">
        <v>0.85</v>
      </c>
      <c r="AJ11" s="58" t="s">
        <v>32</v>
      </c>
      <c r="AK11" s="58" t="s">
        <v>32</v>
      </c>
      <c r="AL11" s="58" t="s">
        <v>32</v>
      </c>
      <c r="AM11" s="58" t="s">
        <v>32</v>
      </c>
      <c r="AN11" s="58" t="s">
        <v>32</v>
      </c>
      <c r="AO11" s="58" t="s">
        <v>32</v>
      </c>
      <c r="AP11" s="58" t="s">
        <v>32</v>
      </c>
      <c r="AQ11" s="57">
        <v>44396</v>
      </c>
      <c r="AR11" s="58">
        <v>29.3</v>
      </c>
      <c r="AS11" s="57">
        <v>151541</v>
      </c>
      <c r="AT11" s="56" t="s">
        <v>52</v>
      </c>
    </row>
    <row r="12" spans="1:47" ht="16.5" thickBot="1">
      <c r="A12" t="s">
        <v>168</v>
      </c>
      <c r="B12">
        <v>14</v>
      </c>
      <c r="C12" s="23">
        <v>10507</v>
      </c>
      <c r="D12" s="1">
        <v>3468</v>
      </c>
      <c r="E12" s="1">
        <v>5270</v>
      </c>
      <c r="F12">
        <v>71</v>
      </c>
      <c r="G12" s="1">
        <v>3</v>
      </c>
      <c r="H12">
        <v>2</v>
      </c>
      <c r="I12" s="1">
        <v>1693</v>
      </c>
      <c r="K12" s="23">
        <v>12023</v>
      </c>
      <c r="L12">
        <v>787</v>
      </c>
      <c r="M12" s="1">
        <v>9411</v>
      </c>
      <c r="N12">
        <v>67</v>
      </c>
      <c r="O12">
        <v>9</v>
      </c>
      <c r="P12">
        <v>1</v>
      </c>
      <c r="Q12" s="1">
        <v>1748</v>
      </c>
      <c r="R12" s="2"/>
      <c r="S12" s="2"/>
      <c r="T12" t="s">
        <v>168</v>
      </c>
      <c r="U12">
        <v>38</v>
      </c>
      <c r="V12">
        <v>28</v>
      </c>
      <c r="W12">
        <v>48</v>
      </c>
      <c r="X12" s="1">
        <f t="shared" si="0"/>
        <v>22644</v>
      </c>
      <c r="Z12" s="9" t="s">
        <v>53</v>
      </c>
      <c r="AA12" s="56">
        <v>29</v>
      </c>
      <c r="AB12" s="57">
        <v>1769141</v>
      </c>
      <c r="AC12" s="58">
        <v>56.93</v>
      </c>
      <c r="AD12" s="58">
        <v>29</v>
      </c>
      <c r="AE12" s="57">
        <v>1313817</v>
      </c>
      <c r="AF12" s="58">
        <v>42.28</v>
      </c>
      <c r="AG12" s="58" t="s">
        <v>32</v>
      </c>
      <c r="AH12" s="57">
        <v>19138</v>
      </c>
      <c r="AI12" s="58">
        <v>0.62</v>
      </c>
      <c r="AJ12" s="58" t="s">
        <v>32</v>
      </c>
      <c r="AK12" s="57">
        <v>3581</v>
      </c>
      <c r="AL12" s="58">
        <v>0.12</v>
      </c>
      <c r="AM12" s="58" t="s">
        <v>32</v>
      </c>
      <c r="AN12" s="57">
        <v>1812</v>
      </c>
      <c r="AO12" s="58">
        <v>0.06</v>
      </c>
      <c r="AP12" s="58" t="s">
        <v>32</v>
      </c>
      <c r="AQ12" s="57">
        <v>455324</v>
      </c>
      <c r="AR12" s="58">
        <v>14.65</v>
      </c>
      <c r="AS12" s="57">
        <v>3107489</v>
      </c>
      <c r="AT12" s="56" t="s">
        <v>54</v>
      </c>
    </row>
    <row r="13" spans="1:47" ht="16.5" thickBot="1">
      <c r="A13" t="s">
        <v>169</v>
      </c>
      <c r="B13">
        <v>4</v>
      </c>
      <c r="C13" s="23">
        <v>6038</v>
      </c>
      <c r="D13" s="1">
        <v>4224</v>
      </c>
      <c r="E13">
        <v>642</v>
      </c>
      <c r="F13">
        <v>166</v>
      </c>
      <c r="G13" s="1">
        <v>0</v>
      </c>
      <c r="H13">
        <v>3</v>
      </c>
      <c r="I13" s="1">
        <v>1003</v>
      </c>
      <c r="K13" s="23">
        <v>3005</v>
      </c>
      <c r="L13" s="1">
        <v>1301</v>
      </c>
      <c r="M13" s="1">
        <v>1008</v>
      </c>
      <c r="N13">
        <v>179</v>
      </c>
      <c r="O13">
        <v>4</v>
      </c>
      <c r="P13">
        <v>0</v>
      </c>
      <c r="Q13">
        <v>513</v>
      </c>
      <c r="R13" s="2"/>
      <c r="S13" s="2"/>
      <c r="T13" t="s">
        <v>169</v>
      </c>
      <c r="U13">
        <v>92</v>
      </c>
      <c r="V13">
        <v>30</v>
      </c>
      <c r="W13">
        <v>29</v>
      </c>
      <c r="X13" s="1">
        <f t="shared" si="0"/>
        <v>9194</v>
      </c>
      <c r="Z13" s="9" t="s">
        <v>55</v>
      </c>
      <c r="AA13" s="56">
        <v>15</v>
      </c>
      <c r="AB13" s="57">
        <v>848290</v>
      </c>
      <c r="AC13" s="58">
        <v>59.68</v>
      </c>
      <c r="AD13" s="58">
        <v>15</v>
      </c>
      <c r="AE13" s="57">
        <v>562691</v>
      </c>
      <c r="AF13" s="58">
        <v>39.590000000000003</v>
      </c>
      <c r="AG13" s="58" t="s">
        <v>32</v>
      </c>
      <c r="AH13" s="57">
        <v>3871</v>
      </c>
      <c r="AI13" s="58">
        <v>0.27</v>
      </c>
      <c r="AJ13" s="58" t="s">
        <v>32</v>
      </c>
      <c r="AK13" s="58">
        <v>321</v>
      </c>
      <c r="AL13" s="58">
        <v>0.02</v>
      </c>
      <c r="AM13" s="58" t="s">
        <v>32</v>
      </c>
      <c r="AN13" s="58">
        <v>645</v>
      </c>
      <c r="AO13" s="58">
        <v>0.05</v>
      </c>
      <c r="AP13" s="58" t="s">
        <v>32</v>
      </c>
      <c r="AQ13" s="57">
        <v>285599</v>
      </c>
      <c r="AR13" s="58">
        <v>20.09</v>
      </c>
      <c r="AS13" s="57">
        <v>1421314</v>
      </c>
      <c r="AT13" s="56" t="s">
        <v>56</v>
      </c>
    </row>
    <row r="14" spans="1:47" ht="16.5" thickBot="1">
      <c r="A14" t="s">
        <v>170</v>
      </c>
      <c r="B14">
        <v>29</v>
      </c>
      <c r="C14" s="23">
        <v>156641</v>
      </c>
      <c r="D14" s="1">
        <v>119729</v>
      </c>
      <c r="E14" s="1">
        <v>10806</v>
      </c>
      <c r="F14" s="1">
        <v>1346</v>
      </c>
      <c r="G14">
        <v>68</v>
      </c>
      <c r="H14">
        <v>57</v>
      </c>
      <c r="I14" s="1">
        <v>24635</v>
      </c>
      <c r="K14" s="23">
        <v>97535</v>
      </c>
      <c r="L14" s="1">
        <v>43970</v>
      </c>
      <c r="M14" s="1">
        <v>32675</v>
      </c>
      <c r="N14" s="1">
        <v>2327</v>
      </c>
      <c r="O14">
        <v>124</v>
      </c>
      <c r="P14">
        <v>44</v>
      </c>
      <c r="Q14" s="1">
        <v>18395</v>
      </c>
      <c r="R14" s="2"/>
      <c r="S14" s="2"/>
      <c r="T14" t="s">
        <v>170</v>
      </c>
      <c r="U14" s="1">
        <v>1540</v>
      </c>
      <c r="V14" s="1">
        <v>1008</v>
      </c>
      <c r="W14">
        <v>247</v>
      </c>
      <c r="X14" s="1">
        <f t="shared" si="0"/>
        <v>256971</v>
      </c>
      <c r="Z14" s="9" t="s">
        <v>57</v>
      </c>
      <c r="AA14" s="56">
        <v>13</v>
      </c>
      <c r="AB14" s="57">
        <v>623570</v>
      </c>
      <c r="AC14" s="58">
        <v>61.77</v>
      </c>
      <c r="AD14" s="58">
        <v>13</v>
      </c>
      <c r="AE14" s="57">
        <v>379311</v>
      </c>
      <c r="AF14" s="58">
        <v>37.57</v>
      </c>
      <c r="AG14" s="58" t="s">
        <v>32</v>
      </c>
      <c r="AH14" s="57">
        <v>2960</v>
      </c>
      <c r="AI14" s="58">
        <v>0.28999999999999998</v>
      </c>
      <c r="AJ14" s="58" t="s">
        <v>32</v>
      </c>
      <c r="AK14" s="58">
        <v>328</v>
      </c>
      <c r="AL14" s="58">
        <v>0.03</v>
      </c>
      <c r="AM14" s="58" t="s">
        <v>32</v>
      </c>
      <c r="AN14" s="58">
        <v>230</v>
      </c>
      <c r="AO14" s="58">
        <v>0.02</v>
      </c>
      <c r="AP14" s="58" t="s">
        <v>32</v>
      </c>
      <c r="AQ14" s="57">
        <v>244259</v>
      </c>
      <c r="AR14" s="58">
        <v>24.2</v>
      </c>
      <c r="AS14" s="57">
        <v>1009489</v>
      </c>
      <c r="AT14" s="56" t="s">
        <v>58</v>
      </c>
    </row>
    <row r="15" spans="1:47" ht="16.5" thickBot="1">
      <c r="A15" t="s">
        <v>171</v>
      </c>
      <c r="B15">
        <v>15</v>
      </c>
      <c r="C15" s="23">
        <v>54756</v>
      </c>
      <c r="D15" s="1">
        <v>38605</v>
      </c>
      <c r="E15" s="1">
        <v>7977</v>
      </c>
      <c r="F15">
        <v>213</v>
      </c>
      <c r="G15">
        <v>13</v>
      </c>
      <c r="H15">
        <v>56</v>
      </c>
      <c r="I15" s="1">
        <v>7892</v>
      </c>
      <c r="K15" s="23">
        <v>25250</v>
      </c>
      <c r="L15" s="1">
        <v>9088</v>
      </c>
      <c r="M15" s="1">
        <v>11813</v>
      </c>
      <c r="N15">
        <v>335</v>
      </c>
      <c r="O15">
        <v>12</v>
      </c>
      <c r="P15">
        <v>22</v>
      </c>
      <c r="Q15" s="1">
        <v>3980</v>
      </c>
      <c r="R15" s="2"/>
      <c r="S15" s="2"/>
      <c r="T15" t="s">
        <v>171</v>
      </c>
      <c r="U15">
        <v>344</v>
      </c>
      <c r="V15">
        <v>183</v>
      </c>
      <c r="W15">
        <v>138</v>
      </c>
      <c r="X15" s="1">
        <f t="shared" si="0"/>
        <v>80671</v>
      </c>
      <c r="Z15" s="9" t="s">
        <v>59</v>
      </c>
      <c r="AA15" s="56">
        <v>10</v>
      </c>
      <c r="AB15" s="57">
        <v>513672</v>
      </c>
      <c r="AC15" s="58">
        <v>72.02</v>
      </c>
      <c r="AD15" s="58">
        <v>10</v>
      </c>
      <c r="AE15" s="57">
        <v>193003</v>
      </c>
      <c r="AF15" s="58">
        <v>27.06</v>
      </c>
      <c r="AG15" s="58" t="s">
        <v>32</v>
      </c>
      <c r="AH15" s="57">
        <v>6205</v>
      </c>
      <c r="AI15" s="58">
        <v>0.87</v>
      </c>
      <c r="AJ15" s="58" t="s">
        <v>32</v>
      </c>
      <c r="AK15" s="58">
        <v>320</v>
      </c>
      <c r="AL15" s="58">
        <v>0.04</v>
      </c>
      <c r="AM15" s="58" t="s">
        <v>32</v>
      </c>
      <c r="AN15" s="58" t="s">
        <v>32</v>
      </c>
      <c r="AO15" s="58" t="s">
        <v>32</v>
      </c>
      <c r="AP15" s="58" t="s">
        <v>32</v>
      </c>
      <c r="AQ15" s="57">
        <v>320669</v>
      </c>
      <c r="AR15" s="58">
        <v>44.96</v>
      </c>
      <c r="AS15" s="57">
        <v>713200</v>
      </c>
      <c r="AT15" s="56" t="s">
        <v>60</v>
      </c>
    </row>
    <row r="16" spans="1:47" ht="16.5" thickBot="1">
      <c r="A16" t="s">
        <v>172</v>
      </c>
      <c r="B16">
        <v>13</v>
      </c>
      <c r="C16" s="23">
        <v>45705</v>
      </c>
      <c r="D16" s="1">
        <v>34886</v>
      </c>
      <c r="E16" s="1">
        <v>3763</v>
      </c>
      <c r="F16">
        <v>745</v>
      </c>
      <c r="G16">
        <v>16</v>
      </c>
      <c r="H16">
        <v>15</v>
      </c>
      <c r="I16" s="1">
        <v>6280</v>
      </c>
      <c r="K16" s="23">
        <v>18312</v>
      </c>
      <c r="L16" s="1">
        <v>8846</v>
      </c>
      <c r="M16" s="1">
        <v>5714</v>
      </c>
      <c r="N16">
        <v>946</v>
      </c>
      <c r="O16">
        <v>9</v>
      </c>
      <c r="P16">
        <v>14</v>
      </c>
      <c r="Q16" s="1">
        <v>2783</v>
      </c>
      <c r="R16" s="2"/>
      <c r="S16" s="2"/>
      <c r="T16" t="s">
        <v>172</v>
      </c>
      <c r="U16">
        <v>316</v>
      </c>
      <c r="V16">
        <v>187</v>
      </c>
      <c r="W16">
        <v>112</v>
      </c>
      <c r="X16" s="1">
        <f t="shared" si="0"/>
        <v>64632</v>
      </c>
      <c r="Z16" s="9" t="s">
        <v>61</v>
      </c>
      <c r="AA16" s="56">
        <v>13</v>
      </c>
      <c r="AB16" s="57">
        <v>558064</v>
      </c>
      <c r="AC16" s="58">
        <v>59.33</v>
      </c>
      <c r="AD16" s="58">
        <v>13</v>
      </c>
      <c r="AE16" s="57">
        <v>381070</v>
      </c>
      <c r="AF16" s="58">
        <v>40.51</v>
      </c>
      <c r="AG16" s="58" t="s">
        <v>32</v>
      </c>
      <c r="AH16" s="58">
        <v>837</v>
      </c>
      <c r="AI16" s="58">
        <v>0.09</v>
      </c>
      <c r="AJ16" s="58" t="s">
        <v>32</v>
      </c>
      <c r="AK16" s="58">
        <v>293</v>
      </c>
      <c r="AL16" s="58">
        <v>0.03</v>
      </c>
      <c r="AM16" s="58" t="s">
        <v>32</v>
      </c>
      <c r="AN16" s="58">
        <v>340</v>
      </c>
      <c r="AO16" s="58">
        <v>0.04</v>
      </c>
      <c r="AP16" s="58" t="s">
        <v>32</v>
      </c>
      <c r="AQ16" s="57">
        <v>176994</v>
      </c>
      <c r="AR16" s="58">
        <v>18.82</v>
      </c>
      <c r="AS16" s="57">
        <v>940604</v>
      </c>
      <c r="AT16" s="56" t="s">
        <v>62</v>
      </c>
    </row>
    <row r="17" spans="1:46" ht="16.5" thickBot="1">
      <c r="A17" t="s">
        <v>173</v>
      </c>
      <c r="B17">
        <v>10</v>
      </c>
      <c r="C17" s="23">
        <v>45094</v>
      </c>
      <c r="D17" s="1">
        <v>32366</v>
      </c>
      <c r="E17" s="1">
        <v>5832</v>
      </c>
      <c r="F17">
        <v>264</v>
      </c>
      <c r="G17">
        <v>12</v>
      </c>
      <c r="H17">
        <v>17</v>
      </c>
      <c r="I17" s="1">
        <v>6603</v>
      </c>
      <c r="K17" s="23">
        <v>12154</v>
      </c>
      <c r="L17" s="1">
        <v>4907</v>
      </c>
      <c r="M17" s="1">
        <v>4870</v>
      </c>
      <c r="N17">
        <v>247</v>
      </c>
      <c r="O17">
        <v>7</v>
      </c>
      <c r="P17">
        <v>5</v>
      </c>
      <c r="Q17" s="1">
        <v>2118</v>
      </c>
      <c r="R17" s="2"/>
      <c r="S17" s="2"/>
      <c r="T17" t="s">
        <v>173</v>
      </c>
      <c r="U17">
        <v>282</v>
      </c>
      <c r="V17">
        <v>147</v>
      </c>
      <c r="W17">
        <v>179</v>
      </c>
      <c r="X17" s="1">
        <f t="shared" si="0"/>
        <v>57856</v>
      </c>
      <c r="Z17" s="5" t="s">
        <v>63</v>
      </c>
      <c r="AA17" s="53">
        <v>10</v>
      </c>
      <c r="AB17" s="54">
        <v>51160</v>
      </c>
      <c r="AC17" s="55">
        <v>23.7</v>
      </c>
      <c r="AD17" s="55" t="s">
        <v>32</v>
      </c>
      <c r="AE17" s="54">
        <v>164655</v>
      </c>
      <c r="AF17" s="55">
        <v>76.290000000000006</v>
      </c>
      <c r="AG17" s="55">
        <v>10</v>
      </c>
      <c r="AH17" s="55" t="s">
        <v>32</v>
      </c>
      <c r="AI17" s="55" t="s">
        <v>32</v>
      </c>
      <c r="AJ17" s="55" t="s">
        <v>32</v>
      </c>
      <c r="AK17" s="55" t="s">
        <v>32</v>
      </c>
      <c r="AL17" s="55" t="s">
        <v>32</v>
      </c>
      <c r="AM17" s="55" t="s">
        <v>32</v>
      </c>
      <c r="AN17" s="55" t="s">
        <v>32</v>
      </c>
      <c r="AO17" s="55" t="s">
        <v>32</v>
      </c>
      <c r="AP17" s="55" t="s">
        <v>32</v>
      </c>
      <c r="AQ17" s="54">
        <v>-113495</v>
      </c>
      <c r="AR17" s="55">
        <v>-52.58</v>
      </c>
      <c r="AS17" s="54">
        <v>215833</v>
      </c>
      <c r="AT17" s="53" t="s">
        <v>64</v>
      </c>
    </row>
    <row r="18" spans="1:46" ht="16.5" thickBot="1">
      <c r="A18" t="s">
        <v>174</v>
      </c>
      <c r="B18">
        <v>13</v>
      </c>
      <c r="C18" s="23">
        <v>24439</v>
      </c>
      <c r="D18" s="1">
        <v>14407</v>
      </c>
      <c r="E18" s="1">
        <v>6524</v>
      </c>
      <c r="F18">
        <v>109</v>
      </c>
      <c r="G18">
        <v>4</v>
      </c>
      <c r="H18">
        <v>8</v>
      </c>
      <c r="I18" s="1">
        <v>3387</v>
      </c>
      <c r="K18" s="23">
        <v>16390</v>
      </c>
      <c r="L18" s="1">
        <v>3407</v>
      </c>
      <c r="M18" s="1">
        <v>10225</v>
      </c>
      <c r="N18">
        <v>206</v>
      </c>
      <c r="O18">
        <v>12</v>
      </c>
      <c r="P18">
        <v>15</v>
      </c>
      <c r="Q18" s="1">
        <v>2525</v>
      </c>
      <c r="R18" s="2"/>
      <c r="S18" s="2"/>
      <c r="T18" t="s">
        <v>174</v>
      </c>
      <c r="U18">
        <v>84</v>
      </c>
      <c r="V18">
        <v>40</v>
      </c>
      <c r="W18">
        <v>71</v>
      </c>
      <c r="X18" s="1">
        <f t="shared" si="0"/>
        <v>41024</v>
      </c>
      <c r="Z18" s="9" t="s">
        <v>65</v>
      </c>
      <c r="AA18" s="56">
        <v>6</v>
      </c>
      <c r="AB18" s="57">
        <v>179923</v>
      </c>
      <c r="AC18" s="58">
        <v>68.63</v>
      </c>
      <c r="AD18" s="58">
        <v>6</v>
      </c>
      <c r="AE18" s="57">
        <v>81179</v>
      </c>
      <c r="AF18" s="58">
        <v>30.96</v>
      </c>
      <c r="AG18" s="58" t="s">
        <v>32</v>
      </c>
      <c r="AH18" s="57">
        <v>1068</v>
      </c>
      <c r="AI18" s="58">
        <v>0.41</v>
      </c>
      <c r="AJ18" s="58" t="s">
        <v>32</v>
      </c>
      <c r="AK18" s="58" t="s">
        <v>32</v>
      </c>
      <c r="AL18" s="58" t="s">
        <v>32</v>
      </c>
      <c r="AM18" s="58" t="s">
        <v>32</v>
      </c>
      <c r="AN18" s="58" t="s">
        <v>32</v>
      </c>
      <c r="AO18" s="58" t="s">
        <v>32</v>
      </c>
      <c r="AP18" s="58" t="s">
        <v>32</v>
      </c>
      <c r="AQ18" s="57">
        <v>98744</v>
      </c>
      <c r="AR18" s="58">
        <v>37.659999999999997</v>
      </c>
      <c r="AS18" s="57">
        <v>262171</v>
      </c>
      <c r="AT18" s="56" t="s">
        <v>66</v>
      </c>
    </row>
    <row r="19" spans="1:46" ht="16.5" thickBot="1">
      <c r="A19" t="s">
        <v>175</v>
      </c>
      <c r="B19">
        <v>10</v>
      </c>
      <c r="C19" s="23">
        <v>10053</v>
      </c>
      <c r="D19" s="1">
        <v>2997</v>
      </c>
      <c r="E19" s="1">
        <v>5410</v>
      </c>
      <c r="F19">
        <v>30</v>
      </c>
      <c r="G19">
        <v>0</v>
      </c>
      <c r="H19">
        <v>3</v>
      </c>
      <c r="I19" s="1">
        <v>1613</v>
      </c>
      <c r="K19" s="23">
        <v>14027</v>
      </c>
      <c r="L19" s="1">
        <v>1786</v>
      </c>
      <c r="M19" s="1">
        <v>9755</v>
      </c>
      <c r="N19">
        <v>70</v>
      </c>
      <c r="O19">
        <v>2</v>
      </c>
      <c r="P19">
        <v>4</v>
      </c>
      <c r="Q19" s="1">
        <v>2410</v>
      </c>
      <c r="R19" s="2"/>
      <c r="S19" s="2"/>
      <c r="T19" t="s">
        <v>175</v>
      </c>
      <c r="U19">
        <v>41</v>
      </c>
      <c r="V19">
        <v>24</v>
      </c>
      <c r="W19">
        <v>26</v>
      </c>
      <c r="X19" s="1">
        <f t="shared" si="0"/>
        <v>24171</v>
      </c>
      <c r="Z19" s="9" t="s">
        <v>68</v>
      </c>
      <c r="AA19" s="56">
        <v>8</v>
      </c>
      <c r="AB19" s="57">
        <v>301479</v>
      </c>
      <c r="AC19" s="58">
        <v>57.06</v>
      </c>
      <c r="AD19" s="58">
        <v>8</v>
      </c>
      <c r="AE19" s="57">
        <v>223626</v>
      </c>
      <c r="AF19" s="58">
        <v>42.33</v>
      </c>
      <c r="AG19" s="58" t="s">
        <v>32</v>
      </c>
      <c r="AH19" s="57">
        <v>1701</v>
      </c>
      <c r="AI19" s="58">
        <v>0.32</v>
      </c>
      <c r="AJ19" s="58" t="s">
        <v>32</v>
      </c>
      <c r="AK19" s="58">
        <v>636</v>
      </c>
      <c r="AL19" s="58">
        <v>0.12</v>
      </c>
      <c r="AM19" s="58" t="s">
        <v>32</v>
      </c>
      <c r="AN19" s="58">
        <v>906</v>
      </c>
      <c r="AO19" s="58">
        <v>0.17</v>
      </c>
      <c r="AP19" s="58" t="s">
        <v>32</v>
      </c>
      <c r="AQ19" s="57">
        <v>77853</v>
      </c>
      <c r="AR19" s="58">
        <v>14.74</v>
      </c>
      <c r="AS19" s="57">
        <v>528348</v>
      </c>
      <c r="AT19" s="56" t="s">
        <v>69</v>
      </c>
    </row>
    <row r="20" spans="1:46" ht="16.5" thickBot="1">
      <c r="A20" t="s">
        <v>176</v>
      </c>
      <c r="B20">
        <v>6</v>
      </c>
      <c r="C20" s="23">
        <v>15814</v>
      </c>
      <c r="D20" s="1">
        <v>12343</v>
      </c>
      <c r="E20">
        <v>904</v>
      </c>
      <c r="F20">
        <v>26</v>
      </c>
      <c r="G20">
        <v>2</v>
      </c>
      <c r="H20">
        <v>2</v>
      </c>
      <c r="I20" s="1">
        <v>2537</v>
      </c>
      <c r="K20" s="23">
        <v>5425</v>
      </c>
      <c r="L20" s="1">
        <v>2123</v>
      </c>
      <c r="M20" s="1">
        <v>2302</v>
      </c>
      <c r="N20">
        <v>66</v>
      </c>
      <c r="O20">
        <v>4</v>
      </c>
      <c r="P20">
        <v>0</v>
      </c>
      <c r="Q20">
        <v>930</v>
      </c>
      <c r="R20" s="2"/>
      <c r="S20" s="2"/>
      <c r="T20" t="s">
        <v>176</v>
      </c>
      <c r="U20">
        <v>68</v>
      </c>
      <c r="V20">
        <v>17</v>
      </c>
      <c r="W20">
        <v>29</v>
      </c>
      <c r="X20" s="1">
        <f t="shared" si="0"/>
        <v>21353</v>
      </c>
      <c r="Z20" s="5" t="s">
        <v>70</v>
      </c>
      <c r="AA20" s="53">
        <v>18</v>
      </c>
      <c r="AB20" s="54">
        <v>775566</v>
      </c>
      <c r="AC20" s="55">
        <v>49.15</v>
      </c>
      <c r="AD20" s="55" t="s">
        <v>32</v>
      </c>
      <c r="AE20" s="54">
        <v>792758</v>
      </c>
      <c r="AF20" s="55">
        <v>50.24</v>
      </c>
      <c r="AG20" s="55">
        <v>18</v>
      </c>
      <c r="AH20" s="54">
        <v>6262</v>
      </c>
      <c r="AI20" s="55">
        <v>0.4</v>
      </c>
      <c r="AJ20" s="55" t="s">
        <v>32</v>
      </c>
      <c r="AK20" s="54">
        <v>2461</v>
      </c>
      <c r="AL20" s="55">
        <v>0.16</v>
      </c>
      <c r="AM20" s="55" t="s">
        <v>32</v>
      </c>
      <c r="AN20" s="55">
        <v>772</v>
      </c>
      <c r="AO20" s="55">
        <v>0.05</v>
      </c>
      <c r="AP20" s="55" t="s">
        <v>32</v>
      </c>
      <c r="AQ20" s="54">
        <v>-17192</v>
      </c>
      <c r="AR20" s="55">
        <v>-1.0900000000000001</v>
      </c>
      <c r="AS20" s="54">
        <v>1577823</v>
      </c>
      <c r="AT20" s="53" t="s">
        <v>71</v>
      </c>
    </row>
    <row r="21" spans="1:46" ht="16.5" thickBot="1">
      <c r="A21" t="s">
        <v>177</v>
      </c>
      <c r="B21">
        <v>8</v>
      </c>
      <c r="C21" s="23">
        <v>15911</v>
      </c>
      <c r="D21" s="1">
        <v>8621</v>
      </c>
      <c r="E21" s="1">
        <v>4326</v>
      </c>
      <c r="F21">
        <v>128</v>
      </c>
      <c r="G21">
        <v>5</v>
      </c>
      <c r="H21">
        <v>10</v>
      </c>
      <c r="I21" s="1">
        <v>2821</v>
      </c>
      <c r="K21" s="23">
        <v>9915</v>
      </c>
      <c r="L21" s="1">
        <v>2574</v>
      </c>
      <c r="M21" s="1">
        <v>5160</v>
      </c>
      <c r="N21">
        <v>255</v>
      </c>
      <c r="O21">
        <v>3</v>
      </c>
      <c r="P21">
        <v>1</v>
      </c>
      <c r="Q21" s="1">
        <v>1922</v>
      </c>
      <c r="R21" s="2"/>
      <c r="S21" s="2"/>
      <c r="T21" t="s">
        <v>177</v>
      </c>
      <c r="U21">
        <v>144</v>
      </c>
      <c r="V21">
        <v>61</v>
      </c>
      <c r="W21">
        <f>416-370</f>
        <v>46</v>
      </c>
      <c r="X21" s="1">
        <f t="shared" si="0"/>
        <v>26077</v>
      </c>
      <c r="Z21" s="9" t="s">
        <v>72</v>
      </c>
      <c r="AA21" s="56">
        <v>15</v>
      </c>
      <c r="AB21" s="57">
        <v>965396</v>
      </c>
      <c r="AC21" s="58">
        <v>70.36</v>
      </c>
      <c r="AD21" s="58">
        <v>15</v>
      </c>
      <c r="AE21" s="57">
        <v>396762</v>
      </c>
      <c r="AF21" s="58">
        <v>28.92</v>
      </c>
      <c r="AG21" s="58" t="s">
        <v>32</v>
      </c>
      <c r="AH21" s="57">
        <v>3516</v>
      </c>
      <c r="AI21" s="58">
        <v>0.26</v>
      </c>
      <c r="AJ21" s="58" t="s">
        <v>32</v>
      </c>
      <c r="AK21" s="57">
        <v>2881</v>
      </c>
      <c r="AL21" s="58">
        <v>0.21</v>
      </c>
      <c r="AM21" s="58" t="s">
        <v>32</v>
      </c>
      <c r="AN21" s="58">
        <v>799</v>
      </c>
      <c r="AO21" s="58">
        <v>0.06</v>
      </c>
      <c r="AP21" s="58" t="s">
        <v>32</v>
      </c>
      <c r="AQ21" s="57">
        <v>568634</v>
      </c>
      <c r="AR21" s="58">
        <v>41.44</v>
      </c>
      <c r="AS21" s="57">
        <v>1372082</v>
      </c>
      <c r="AT21" s="56" t="s">
        <v>73</v>
      </c>
    </row>
    <row r="22" spans="1:46" ht="16.5" thickBot="1">
      <c r="A22" t="s">
        <v>178</v>
      </c>
      <c r="B22">
        <v>18</v>
      </c>
      <c r="C22" s="23">
        <v>78309</v>
      </c>
      <c r="D22" s="1">
        <v>64283</v>
      </c>
      <c r="E22" s="1">
        <v>2844</v>
      </c>
      <c r="F22">
        <v>335</v>
      </c>
      <c r="G22">
        <v>9</v>
      </c>
      <c r="H22">
        <v>15</v>
      </c>
      <c r="I22" s="1">
        <v>10823</v>
      </c>
      <c r="K22" s="23">
        <v>39029</v>
      </c>
      <c r="L22" s="1">
        <v>18719</v>
      </c>
      <c r="M22" s="1">
        <v>12990</v>
      </c>
      <c r="N22">
        <v>945</v>
      </c>
      <c r="O22">
        <v>20</v>
      </c>
      <c r="P22">
        <v>5</v>
      </c>
      <c r="Q22" s="1">
        <v>6350</v>
      </c>
      <c r="R22" s="2"/>
      <c r="S22" s="2"/>
      <c r="T22" t="s">
        <v>178</v>
      </c>
      <c r="U22">
        <v>590</v>
      </c>
      <c r="V22">
        <v>283</v>
      </c>
      <c r="W22">
        <v>215</v>
      </c>
      <c r="X22" s="1">
        <f t="shared" si="0"/>
        <v>118426</v>
      </c>
      <c r="Z22" s="9" t="s">
        <v>74</v>
      </c>
      <c r="AA22" s="56">
        <v>12</v>
      </c>
      <c r="AB22" s="57">
        <v>560977</v>
      </c>
      <c r="AC22" s="58">
        <v>57.77</v>
      </c>
      <c r="AD22" s="58">
        <v>12</v>
      </c>
      <c r="AE22" s="57">
        <v>396451</v>
      </c>
      <c r="AF22" s="58">
        <v>40.83</v>
      </c>
      <c r="AG22" s="58" t="s">
        <v>32</v>
      </c>
      <c r="AH22" s="57">
        <v>6774</v>
      </c>
      <c r="AI22" s="58">
        <v>0.7</v>
      </c>
      <c r="AJ22" s="58" t="s">
        <v>32</v>
      </c>
      <c r="AK22" s="57">
        <v>4853</v>
      </c>
      <c r="AL22" s="58">
        <v>0.5</v>
      </c>
      <c r="AM22" s="58" t="s">
        <v>32</v>
      </c>
      <c r="AN22" s="57">
        <v>1921</v>
      </c>
      <c r="AO22" s="58">
        <v>0.2</v>
      </c>
      <c r="AP22" s="58" t="s">
        <v>32</v>
      </c>
      <c r="AQ22" s="57">
        <v>164526</v>
      </c>
      <c r="AR22" s="58">
        <v>16.940000000000001</v>
      </c>
      <c r="AS22" s="57">
        <v>970976</v>
      </c>
      <c r="AT22" s="56" t="s">
        <v>75</v>
      </c>
    </row>
    <row r="23" spans="1:46" ht="16.5" thickBot="1">
      <c r="A23" t="s">
        <v>179</v>
      </c>
      <c r="B23">
        <v>15</v>
      </c>
      <c r="C23" s="23">
        <v>71947</v>
      </c>
      <c r="D23" s="1">
        <v>55262</v>
      </c>
      <c r="E23" s="1">
        <v>5454</v>
      </c>
      <c r="F23">
        <v>373</v>
      </c>
      <c r="G23">
        <v>20</v>
      </c>
      <c r="H23">
        <v>58</v>
      </c>
      <c r="I23" s="1">
        <v>10780</v>
      </c>
      <c r="K23" s="23">
        <v>25069</v>
      </c>
      <c r="L23" s="1">
        <v>13818</v>
      </c>
      <c r="M23" s="1">
        <v>6524</v>
      </c>
      <c r="N23">
        <v>518</v>
      </c>
      <c r="O23">
        <v>23</v>
      </c>
      <c r="P23">
        <v>28</v>
      </c>
      <c r="Q23" s="1">
        <v>4158</v>
      </c>
      <c r="R23" s="2"/>
      <c r="S23" s="2"/>
      <c r="T23" t="s">
        <v>179</v>
      </c>
      <c r="U23">
        <v>345</v>
      </c>
      <c r="V23">
        <v>405</v>
      </c>
      <c r="W23">
        <v>111</v>
      </c>
      <c r="X23" s="1">
        <f t="shared" si="0"/>
        <v>97877</v>
      </c>
      <c r="Z23" s="5" t="s">
        <v>76</v>
      </c>
      <c r="AA23" s="53">
        <v>10</v>
      </c>
      <c r="AB23" s="54">
        <v>27153</v>
      </c>
      <c r="AC23" s="55">
        <v>17.899999999999999</v>
      </c>
      <c r="AD23" s="55" t="s">
        <v>32</v>
      </c>
      <c r="AE23" s="54">
        <v>124539</v>
      </c>
      <c r="AF23" s="55">
        <v>82.1</v>
      </c>
      <c r="AG23" s="55">
        <v>10</v>
      </c>
      <c r="AH23" s="55" t="s">
        <v>32</v>
      </c>
      <c r="AI23" s="55" t="s">
        <v>32</v>
      </c>
      <c r="AJ23" s="55" t="s">
        <v>32</v>
      </c>
      <c r="AK23" s="55" t="s">
        <v>32</v>
      </c>
      <c r="AL23" s="55" t="s">
        <v>32</v>
      </c>
      <c r="AM23" s="55" t="s">
        <v>32</v>
      </c>
      <c r="AN23" s="55" t="s">
        <v>32</v>
      </c>
      <c r="AO23" s="55" t="s">
        <v>32</v>
      </c>
      <c r="AP23" s="55" t="s">
        <v>32</v>
      </c>
      <c r="AQ23" s="54">
        <v>-97386</v>
      </c>
      <c r="AR23" s="55">
        <v>-64.2</v>
      </c>
      <c r="AS23" s="54">
        <v>151692</v>
      </c>
      <c r="AT23" s="53" t="s">
        <v>77</v>
      </c>
    </row>
    <row r="24" spans="1:46" ht="16.5" thickBot="1">
      <c r="A24" t="s">
        <v>180</v>
      </c>
      <c r="B24">
        <v>12</v>
      </c>
      <c r="C24" s="23">
        <v>67570</v>
      </c>
      <c r="D24" s="1">
        <v>49651</v>
      </c>
      <c r="E24" s="1">
        <v>4695</v>
      </c>
      <c r="F24" s="1">
        <v>1005</v>
      </c>
      <c r="G24">
        <v>691</v>
      </c>
      <c r="H24">
        <v>35</v>
      </c>
      <c r="I24" s="1">
        <v>11493</v>
      </c>
      <c r="K24" s="23">
        <v>29712</v>
      </c>
      <c r="L24" s="1">
        <v>14868</v>
      </c>
      <c r="M24" s="1">
        <v>7311</v>
      </c>
      <c r="N24" s="1">
        <v>1354</v>
      </c>
      <c r="O24">
        <v>687</v>
      </c>
      <c r="P24">
        <v>10</v>
      </c>
      <c r="Q24" s="1">
        <v>5482</v>
      </c>
      <c r="R24" s="2"/>
      <c r="S24" s="2"/>
      <c r="T24" t="s">
        <v>180</v>
      </c>
      <c r="U24">
        <v>513</v>
      </c>
      <c r="V24">
        <v>347</v>
      </c>
      <c r="W24">
        <v>196</v>
      </c>
      <c r="X24" s="1">
        <f t="shared" si="0"/>
        <v>98338</v>
      </c>
      <c r="Z24" s="9" t="s">
        <v>78</v>
      </c>
      <c r="AA24" s="56">
        <v>18</v>
      </c>
      <c r="AB24" s="57">
        <v>834080</v>
      </c>
      <c r="AC24" s="58">
        <v>55.58</v>
      </c>
      <c r="AD24" s="58">
        <v>18</v>
      </c>
      <c r="AE24" s="57">
        <v>662562</v>
      </c>
      <c r="AF24" s="58">
        <v>44.15</v>
      </c>
      <c r="AG24" s="58" t="s">
        <v>32</v>
      </c>
      <c r="AH24" s="57">
        <v>3739</v>
      </c>
      <c r="AI24" s="58">
        <v>0.25</v>
      </c>
      <c r="AJ24" s="58" t="s">
        <v>32</v>
      </c>
      <c r="AK24" s="58" t="s">
        <v>32</v>
      </c>
      <c r="AL24" s="58" t="s">
        <v>32</v>
      </c>
      <c r="AM24" s="58" t="s">
        <v>32</v>
      </c>
      <c r="AN24" s="58">
        <v>340</v>
      </c>
      <c r="AO24" s="58">
        <v>0.02</v>
      </c>
      <c r="AP24" s="58" t="s">
        <v>32</v>
      </c>
      <c r="AQ24" s="57">
        <v>171518</v>
      </c>
      <c r="AR24" s="58">
        <v>11.43</v>
      </c>
      <c r="AS24" s="57">
        <v>1500721</v>
      </c>
      <c r="AT24" s="56" t="s">
        <v>79</v>
      </c>
    </row>
    <row r="25" spans="1:46" ht="16.5" thickBot="1">
      <c r="A25" t="s">
        <v>181</v>
      </c>
      <c r="B25">
        <v>10</v>
      </c>
      <c r="C25" s="23">
        <v>4712</v>
      </c>
      <c r="D25" s="1">
        <v>1034</v>
      </c>
      <c r="E25" s="1">
        <v>2791</v>
      </c>
      <c r="F25">
        <v>9</v>
      </c>
      <c r="G25">
        <v>1</v>
      </c>
      <c r="H25">
        <v>2</v>
      </c>
      <c r="I25">
        <v>875</v>
      </c>
      <c r="K25" s="23">
        <v>10157</v>
      </c>
      <c r="L25">
        <v>682</v>
      </c>
      <c r="M25" s="1">
        <v>7679</v>
      </c>
      <c r="N25">
        <v>19</v>
      </c>
      <c r="O25">
        <v>4</v>
      </c>
      <c r="P25">
        <v>1</v>
      </c>
      <c r="Q25" s="1">
        <v>1772</v>
      </c>
      <c r="R25" s="2"/>
      <c r="S25" s="2"/>
      <c r="T25" t="s">
        <v>181</v>
      </c>
      <c r="U25">
        <v>27</v>
      </c>
      <c r="V25">
        <v>18</v>
      </c>
      <c r="W25">
        <v>43</v>
      </c>
      <c r="X25" s="1">
        <f t="shared" si="0"/>
        <v>14957</v>
      </c>
      <c r="Z25" s="9" t="s">
        <v>80</v>
      </c>
      <c r="AA25" s="56">
        <v>4</v>
      </c>
      <c r="AB25" s="57">
        <v>113300</v>
      </c>
      <c r="AC25" s="58">
        <v>58.37</v>
      </c>
      <c r="AD25" s="58">
        <v>4</v>
      </c>
      <c r="AE25" s="57">
        <v>78578</v>
      </c>
      <c r="AF25" s="58">
        <v>40.479999999999997</v>
      </c>
      <c r="AG25" s="58" t="s">
        <v>32</v>
      </c>
      <c r="AH25" s="57">
        <v>1667</v>
      </c>
      <c r="AI25" s="58">
        <v>0.86</v>
      </c>
      <c r="AJ25" s="58" t="s">
        <v>32</v>
      </c>
      <c r="AK25" s="58">
        <v>563</v>
      </c>
      <c r="AL25" s="58">
        <v>0.28999999999999998</v>
      </c>
      <c r="AM25" s="58" t="s">
        <v>32</v>
      </c>
      <c r="AN25" s="58" t="s">
        <v>32</v>
      </c>
      <c r="AO25" s="58" t="s">
        <v>32</v>
      </c>
      <c r="AP25" s="58" t="s">
        <v>32</v>
      </c>
      <c r="AQ25" s="57">
        <v>34722</v>
      </c>
      <c r="AR25" s="58">
        <v>17.89</v>
      </c>
      <c r="AS25" s="57">
        <v>194108</v>
      </c>
      <c r="AT25" s="56" t="s">
        <v>81</v>
      </c>
    </row>
    <row r="26" spans="1:46" ht="16.5" thickBot="1">
      <c r="A26" t="s">
        <v>182</v>
      </c>
      <c r="B26">
        <v>18</v>
      </c>
      <c r="C26" s="23">
        <v>62613</v>
      </c>
      <c r="D26" s="1">
        <v>42780</v>
      </c>
      <c r="E26" s="1">
        <v>12135</v>
      </c>
      <c r="F26">
        <v>409</v>
      </c>
      <c r="G26">
        <v>17</v>
      </c>
      <c r="H26">
        <v>32</v>
      </c>
      <c r="I26" s="1">
        <v>7240</v>
      </c>
      <c r="K26" s="23">
        <v>33849</v>
      </c>
      <c r="L26" s="1">
        <v>10899</v>
      </c>
      <c r="M26" s="1">
        <v>18127</v>
      </c>
      <c r="N26">
        <v>547</v>
      </c>
      <c r="O26">
        <v>27</v>
      </c>
      <c r="P26">
        <v>10</v>
      </c>
      <c r="Q26" s="1">
        <v>4239</v>
      </c>
      <c r="R26" s="2"/>
      <c r="S26" s="2"/>
      <c r="T26" t="s">
        <v>182</v>
      </c>
      <c r="U26">
        <v>266</v>
      </c>
      <c r="V26">
        <v>113</v>
      </c>
      <c r="W26">
        <v>99</v>
      </c>
      <c r="X26" s="1">
        <f t="shared" si="0"/>
        <v>96940</v>
      </c>
      <c r="Z26" s="9" t="s">
        <v>82</v>
      </c>
      <c r="AA26" s="56">
        <v>8</v>
      </c>
      <c r="AB26" s="57">
        <v>345745</v>
      </c>
      <c r="AC26" s="58">
        <v>63.19</v>
      </c>
      <c r="AD26" s="58">
        <v>8</v>
      </c>
      <c r="AE26" s="57">
        <v>197959</v>
      </c>
      <c r="AF26" s="58">
        <v>36.18</v>
      </c>
      <c r="AG26" s="58" t="s">
        <v>32</v>
      </c>
      <c r="AH26" s="57">
        <v>3434</v>
      </c>
      <c r="AI26" s="58">
        <v>0.63</v>
      </c>
      <c r="AJ26" s="58" t="s">
        <v>32</v>
      </c>
      <c r="AK26" s="58" t="s">
        <v>32</v>
      </c>
      <c r="AL26" s="58" t="s">
        <v>32</v>
      </c>
      <c r="AM26" s="58" t="s">
        <v>32</v>
      </c>
      <c r="AN26" s="58" t="s">
        <v>32</v>
      </c>
      <c r="AO26" s="58" t="s">
        <v>32</v>
      </c>
      <c r="AP26" s="58" t="s">
        <v>32</v>
      </c>
      <c r="AQ26" s="57">
        <v>147786</v>
      </c>
      <c r="AR26" s="58">
        <v>27.01</v>
      </c>
      <c r="AS26" s="57">
        <v>547144</v>
      </c>
      <c r="AT26" s="56" t="s">
        <v>83</v>
      </c>
    </row>
    <row r="27" spans="1:46" ht="16.5" thickBot="1">
      <c r="A27" t="s">
        <v>183</v>
      </c>
      <c r="B27">
        <v>4</v>
      </c>
      <c r="C27" s="23">
        <v>7352</v>
      </c>
      <c r="D27" s="1">
        <v>5040</v>
      </c>
      <c r="E27" s="1">
        <v>1031</v>
      </c>
      <c r="F27">
        <v>119</v>
      </c>
      <c r="G27">
        <v>18</v>
      </c>
      <c r="H27">
        <v>0</v>
      </c>
      <c r="I27" s="1">
        <v>1144</v>
      </c>
      <c r="K27" s="23">
        <v>3388</v>
      </c>
      <c r="L27" s="1">
        <v>1315</v>
      </c>
      <c r="M27" s="1">
        <v>1234</v>
      </c>
      <c r="N27">
        <v>179</v>
      </c>
      <c r="O27">
        <v>12</v>
      </c>
      <c r="P27">
        <v>0</v>
      </c>
      <c r="Q27">
        <v>648</v>
      </c>
      <c r="R27" s="2"/>
      <c r="S27" s="2"/>
      <c r="T27" t="s">
        <v>183</v>
      </c>
      <c r="U27">
        <v>77</v>
      </c>
      <c r="V27">
        <v>44</v>
      </c>
      <c r="W27">
        <v>24</v>
      </c>
      <c r="X27" s="1">
        <f t="shared" si="0"/>
        <v>10885</v>
      </c>
      <c r="Z27" s="9" t="s">
        <v>84</v>
      </c>
      <c r="AA27" s="56">
        <v>3</v>
      </c>
      <c r="AB27" s="57">
        <v>18327</v>
      </c>
      <c r="AC27" s="58">
        <v>56.54</v>
      </c>
      <c r="AD27" s="58">
        <v>3</v>
      </c>
      <c r="AE27" s="57">
        <v>14090</v>
      </c>
      <c r="AF27" s="58">
        <v>43.46</v>
      </c>
      <c r="AG27" s="58" t="s">
        <v>32</v>
      </c>
      <c r="AH27" s="58" t="s">
        <v>32</v>
      </c>
      <c r="AI27" s="58" t="s">
        <v>32</v>
      </c>
      <c r="AJ27" s="58" t="s">
        <v>32</v>
      </c>
      <c r="AK27" s="58" t="s">
        <v>32</v>
      </c>
      <c r="AL27" s="58" t="s">
        <v>32</v>
      </c>
      <c r="AM27" s="58" t="s">
        <v>32</v>
      </c>
      <c r="AN27" s="58" t="s">
        <v>32</v>
      </c>
      <c r="AO27" s="58" t="s">
        <v>32</v>
      </c>
      <c r="AP27" s="58" t="s">
        <v>32</v>
      </c>
      <c r="AQ27" s="57">
        <v>4237</v>
      </c>
      <c r="AR27" s="58">
        <v>13.07</v>
      </c>
      <c r="AS27" s="57">
        <v>32417</v>
      </c>
      <c r="AT27" s="56" t="s">
        <v>85</v>
      </c>
    </row>
    <row r="28" spans="1:46" ht="16.5" thickBot="1">
      <c r="A28" t="s">
        <v>184</v>
      </c>
      <c r="B28">
        <v>8</v>
      </c>
      <c r="C28" s="23">
        <v>22951</v>
      </c>
      <c r="D28" s="1">
        <v>14956</v>
      </c>
      <c r="E28" s="1">
        <v>4142</v>
      </c>
      <c r="F28">
        <v>290</v>
      </c>
      <c r="G28">
        <v>4</v>
      </c>
      <c r="H28">
        <v>8</v>
      </c>
      <c r="I28" s="1">
        <v>3551</v>
      </c>
      <c r="K28" s="23">
        <v>10696</v>
      </c>
      <c r="L28" s="1">
        <v>4060</v>
      </c>
      <c r="M28" s="1">
        <v>4478</v>
      </c>
      <c r="N28">
        <v>345</v>
      </c>
      <c r="O28">
        <v>6</v>
      </c>
      <c r="P28">
        <v>11</v>
      </c>
      <c r="Q28" s="1">
        <v>1796</v>
      </c>
      <c r="R28" s="2"/>
      <c r="S28" s="2"/>
      <c r="T28" t="s">
        <v>184</v>
      </c>
      <c r="U28">
        <v>161</v>
      </c>
      <c r="V28">
        <v>109</v>
      </c>
      <c r="W28">
        <v>70</v>
      </c>
      <c r="X28" s="1">
        <f t="shared" si="0"/>
        <v>33987</v>
      </c>
      <c r="Z28" s="9" t="s">
        <v>86</v>
      </c>
      <c r="AA28" s="56">
        <v>4</v>
      </c>
      <c r="AB28" s="57">
        <v>115404</v>
      </c>
      <c r="AC28" s="58">
        <v>58.65</v>
      </c>
      <c r="AD28" s="58">
        <v>4</v>
      </c>
      <c r="AE28" s="57">
        <v>80715</v>
      </c>
      <c r="AF28" s="58">
        <v>41.02</v>
      </c>
      <c r="AG28" s="58" t="s">
        <v>32</v>
      </c>
      <c r="AH28" s="58">
        <v>465</v>
      </c>
      <c r="AI28" s="58">
        <v>0.24</v>
      </c>
      <c r="AJ28" s="58" t="s">
        <v>32</v>
      </c>
      <c r="AK28" s="58">
        <v>173</v>
      </c>
      <c r="AL28" s="58">
        <v>0.09</v>
      </c>
      <c r="AM28" s="58" t="s">
        <v>32</v>
      </c>
      <c r="AN28" s="58" t="s">
        <v>32</v>
      </c>
      <c r="AO28" s="58" t="s">
        <v>32</v>
      </c>
      <c r="AP28" s="58" t="s">
        <v>32</v>
      </c>
      <c r="AQ28" s="57">
        <v>34689</v>
      </c>
      <c r="AR28" s="58">
        <v>17.63</v>
      </c>
      <c r="AS28" s="57">
        <v>196757</v>
      </c>
      <c r="AT28" s="56" t="s">
        <v>87</v>
      </c>
    </row>
    <row r="29" spans="1:46" ht="16.5" thickBot="1">
      <c r="A29" t="s">
        <v>185</v>
      </c>
      <c r="B29">
        <v>3</v>
      </c>
      <c r="C29" s="23">
        <v>1472</v>
      </c>
      <c r="D29" s="1">
        <v>1026</v>
      </c>
      <c r="E29">
        <v>209</v>
      </c>
      <c r="F29">
        <v>29</v>
      </c>
      <c r="G29">
        <v>0</v>
      </c>
      <c r="H29">
        <v>0</v>
      </c>
      <c r="I29">
        <v>208</v>
      </c>
      <c r="K29" s="22">
        <v>737</v>
      </c>
      <c r="L29">
        <v>232</v>
      </c>
      <c r="M29">
        <v>329</v>
      </c>
      <c r="N29">
        <v>33</v>
      </c>
      <c r="O29">
        <v>0</v>
      </c>
      <c r="P29">
        <v>1</v>
      </c>
      <c r="Q29">
        <v>142</v>
      </c>
      <c r="R29" s="2"/>
      <c r="S29" s="2"/>
      <c r="T29" t="s">
        <v>185</v>
      </c>
      <c r="U29">
        <v>10</v>
      </c>
      <c r="V29">
        <v>4</v>
      </c>
      <c r="W29">
        <v>10</v>
      </c>
      <c r="X29" s="1">
        <f t="shared" si="0"/>
        <v>2233</v>
      </c>
      <c r="Z29" s="9" t="s">
        <v>90</v>
      </c>
      <c r="AA29" s="56">
        <v>14</v>
      </c>
      <c r="AB29" s="57">
        <v>925285</v>
      </c>
      <c r="AC29" s="58">
        <v>59.77</v>
      </c>
      <c r="AD29" s="58">
        <v>14</v>
      </c>
      <c r="AE29" s="57">
        <v>616162</v>
      </c>
      <c r="AF29" s="58">
        <v>39.799999999999997</v>
      </c>
      <c r="AG29" s="58" t="s">
        <v>32</v>
      </c>
      <c r="AH29" s="57">
        <v>4866</v>
      </c>
      <c r="AI29" s="58">
        <v>0.31</v>
      </c>
      <c r="AJ29" s="58" t="s">
        <v>32</v>
      </c>
      <c r="AK29" s="57">
        <v>1240</v>
      </c>
      <c r="AL29" s="58">
        <v>0.08</v>
      </c>
      <c r="AM29" s="58" t="s">
        <v>32</v>
      </c>
      <c r="AN29" s="58">
        <v>488</v>
      </c>
      <c r="AO29" s="58">
        <v>0.03</v>
      </c>
      <c r="AP29" s="58" t="s">
        <v>32</v>
      </c>
      <c r="AQ29" s="57">
        <v>309123</v>
      </c>
      <c r="AR29" s="58">
        <v>19.97</v>
      </c>
      <c r="AS29" s="57">
        <v>1548195</v>
      </c>
      <c r="AT29" s="56" t="s">
        <v>91</v>
      </c>
    </row>
    <row r="30" spans="1:46" ht="16.5" thickBot="1">
      <c r="A30" t="s">
        <v>186</v>
      </c>
      <c r="B30">
        <v>4</v>
      </c>
      <c r="C30" s="23">
        <v>10104</v>
      </c>
      <c r="D30" s="1">
        <v>8066</v>
      </c>
      <c r="E30">
        <v>635</v>
      </c>
      <c r="F30">
        <v>29</v>
      </c>
      <c r="G30">
        <v>0</v>
      </c>
      <c r="H30">
        <v>2</v>
      </c>
      <c r="I30" s="1">
        <v>1372</v>
      </c>
      <c r="K30" s="23">
        <v>3826</v>
      </c>
      <c r="L30" s="1">
        <v>1457</v>
      </c>
      <c r="M30" s="1">
        <v>1614</v>
      </c>
      <c r="N30">
        <v>40</v>
      </c>
      <c r="O30">
        <v>2</v>
      </c>
      <c r="P30">
        <v>0</v>
      </c>
      <c r="Q30">
        <v>713</v>
      </c>
      <c r="R30" s="2"/>
      <c r="S30" s="2"/>
      <c r="T30" t="s">
        <v>186</v>
      </c>
      <c r="U30">
        <v>43</v>
      </c>
      <c r="V30">
        <v>21</v>
      </c>
      <c r="W30">
        <v>21</v>
      </c>
      <c r="X30" s="1">
        <f t="shared" si="0"/>
        <v>14015</v>
      </c>
      <c r="Z30" s="9" t="s">
        <v>92</v>
      </c>
      <c r="AA30" s="56">
        <v>3</v>
      </c>
      <c r="AB30" s="57">
        <v>69645</v>
      </c>
      <c r="AC30" s="58">
        <v>59.01</v>
      </c>
      <c r="AD30" s="58">
        <v>3</v>
      </c>
      <c r="AE30" s="57">
        <v>48211</v>
      </c>
      <c r="AF30" s="58">
        <v>40.85</v>
      </c>
      <c r="AG30" s="58" t="s">
        <v>32</v>
      </c>
      <c r="AH30" s="58" t="s">
        <v>32</v>
      </c>
      <c r="AI30" s="58" t="s">
        <v>32</v>
      </c>
      <c r="AJ30" s="58" t="s">
        <v>32</v>
      </c>
      <c r="AK30" s="58">
        <v>158</v>
      </c>
      <c r="AL30" s="58">
        <v>0.13</v>
      </c>
      <c r="AM30" s="58" t="s">
        <v>32</v>
      </c>
      <c r="AN30" s="58" t="s">
        <v>32</v>
      </c>
      <c r="AO30" s="58" t="s">
        <v>32</v>
      </c>
      <c r="AP30" s="58" t="s">
        <v>32</v>
      </c>
      <c r="AQ30" s="57">
        <v>21434</v>
      </c>
      <c r="AR30" s="58">
        <v>18.16</v>
      </c>
      <c r="AS30" s="57">
        <v>118014</v>
      </c>
      <c r="AT30" s="56" t="s">
        <v>93</v>
      </c>
    </row>
    <row r="31" spans="1:46" ht="16.5" thickBot="1">
      <c r="A31" t="s">
        <v>187</v>
      </c>
      <c r="B31">
        <v>14</v>
      </c>
      <c r="C31" s="23">
        <v>55775</v>
      </c>
      <c r="D31" s="1">
        <v>42393</v>
      </c>
      <c r="E31" s="1">
        <v>5125</v>
      </c>
      <c r="F31">
        <v>231</v>
      </c>
      <c r="G31">
        <v>10</v>
      </c>
      <c r="H31">
        <v>24</v>
      </c>
      <c r="I31" s="1">
        <v>7992</v>
      </c>
      <c r="K31" s="23">
        <v>20975</v>
      </c>
      <c r="L31" s="1">
        <v>8793</v>
      </c>
      <c r="M31" s="1">
        <v>8220</v>
      </c>
      <c r="N31">
        <v>393</v>
      </c>
      <c r="O31">
        <v>14</v>
      </c>
      <c r="P31">
        <v>11</v>
      </c>
      <c r="Q31" s="1">
        <v>3544</v>
      </c>
      <c r="R31" s="2"/>
      <c r="S31" s="2"/>
      <c r="T31" t="s">
        <v>187</v>
      </c>
      <c r="U31">
        <v>510</v>
      </c>
      <c r="V31">
        <v>174</v>
      </c>
      <c r="W31">
        <v>72</v>
      </c>
      <c r="X31" s="1">
        <f t="shared" si="0"/>
        <v>77506</v>
      </c>
      <c r="Z31" s="9" t="s">
        <v>94</v>
      </c>
      <c r="AA31" s="56">
        <v>45</v>
      </c>
      <c r="AB31" s="57">
        <v>2193344</v>
      </c>
      <c r="AC31" s="58">
        <v>49.79</v>
      </c>
      <c r="AD31" s="58">
        <v>45</v>
      </c>
      <c r="AE31" s="57">
        <v>2089863</v>
      </c>
      <c r="AF31" s="58">
        <v>47.44</v>
      </c>
      <c r="AG31" s="58" t="s">
        <v>32</v>
      </c>
      <c r="AH31" s="57">
        <v>107332</v>
      </c>
      <c r="AI31" s="58">
        <v>2.44</v>
      </c>
      <c r="AJ31" s="58" t="s">
        <v>32</v>
      </c>
      <c r="AK31" s="57">
        <v>10876</v>
      </c>
      <c r="AL31" s="58">
        <v>0.25</v>
      </c>
      <c r="AM31" s="58" t="s">
        <v>32</v>
      </c>
      <c r="AN31" s="57">
        <v>4211</v>
      </c>
      <c r="AO31" s="58">
        <v>0.1</v>
      </c>
      <c r="AP31" s="58" t="s">
        <v>32</v>
      </c>
      <c r="AQ31" s="57">
        <v>103481</v>
      </c>
      <c r="AR31" s="58">
        <v>2.35</v>
      </c>
      <c r="AS31" s="57">
        <v>4405626</v>
      </c>
      <c r="AT31" s="56" t="s">
        <v>95</v>
      </c>
    </row>
    <row r="32" spans="1:46" ht="16.5" thickBot="1">
      <c r="A32" t="s">
        <v>188</v>
      </c>
      <c r="B32">
        <v>3</v>
      </c>
      <c r="C32" s="23">
        <v>2951</v>
      </c>
      <c r="D32" s="1">
        <v>1665</v>
      </c>
      <c r="E32">
        <v>812</v>
      </c>
      <c r="F32">
        <v>35</v>
      </c>
      <c r="G32">
        <v>0</v>
      </c>
      <c r="H32">
        <v>1</v>
      </c>
      <c r="I32">
        <v>438</v>
      </c>
      <c r="K32" s="23">
        <v>1694</v>
      </c>
      <c r="L32">
        <v>434</v>
      </c>
      <c r="M32">
        <v>957</v>
      </c>
      <c r="N32">
        <v>39</v>
      </c>
      <c r="O32">
        <v>1</v>
      </c>
      <c r="P32">
        <v>0</v>
      </c>
      <c r="Q32">
        <v>263</v>
      </c>
      <c r="R32" s="2"/>
      <c r="S32" s="2"/>
      <c r="T32" t="s">
        <v>188</v>
      </c>
      <c r="U32">
        <v>16</v>
      </c>
      <c r="V32">
        <v>10</v>
      </c>
      <c r="W32">
        <v>3</v>
      </c>
      <c r="X32" s="1">
        <f t="shared" si="0"/>
        <v>4674</v>
      </c>
      <c r="Z32" s="9" t="s">
        <v>96</v>
      </c>
      <c r="AA32" s="56">
        <v>12</v>
      </c>
      <c r="AB32" s="57">
        <v>348923</v>
      </c>
      <c r="AC32" s="58">
        <v>54.94</v>
      </c>
      <c r="AD32" s="58">
        <v>12</v>
      </c>
      <c r="AE32" s="57">
        <v>286227</v>
      </c>
      <c r="AF32" s="58">
        <v>45.06</v>
      </c>
      <c r="AG32" s="58" t="s">
        <v>32</v>
      </c>
      <c r="AH32" s="58" t="s">
        <v>32</v>
      </c>
      <c r="AI32" s="58" t="s">
        <v>32</v>
      </c>
      <c r="AJ32" s="58" t="s">
        <v>32</v>
      </c>
      <c r="AK32" s="58" t="s">
        <v>32</v>
      </c>
      <c r="AL32" s="58" t="s">
        <v>32</v>
      </c>
      <c r="AM32" s="58" t="s">
        <v>32</v>
      </c>
      <c r="AN32" s="58" t="s">
        <v>32</v>
      </c>
      <c r="AO32" s="58" t="s">
        <v>32</v>
      </c>
      <c r="AP32" s="58" t="s">
        <v>32</v>
      </c>
      <c r="AQ32" s="57">
        <v>62696</v>
      </c>
      <c r="AR32" s="58">
        <v>9.8699999999999992</v>
      </c>
      <c r="AS32" s="57">
        <v>635150</v>
      </c>
      <c r="AT32" s="56" t="s">
        <v>97</v>
      </c>
    </row>
    <row r="33" spans="1:46" ht="16.5" thickBot="1">
      <c r="A33" t="s">
        <v>189</v>
      </c>
      <c r="B33">
        <v>45</v>
      </c>
      <c r="C33" s="23">
        <v>218920</v>
      </c>
      <c r="D33" s="1">
        <v>162365</v>
      </c>
      <c r="E33" s="1">
        <v>23143</v>
      </c>
      <c r="F33" s="1">
        <v>1182</v>
      </c>
      <c r="G33">
        <v>79</v>
      </c>
      <c r="H33">
        <v>90</v>
      </c>
      <c r="I33" s="1">
        <v>32061</v>
      </c>
      <c r="K33" s="23">
        <v>185659</v>
      </c>
      <c r="L33" s="1">
        <v>58466</v>
      </c>
      <c r="M33" s="1">
        <v>88411</v>
      </c>
      <c r="N33" s="1">
        <v>4236</v>
      </c>
      <c r="O33">
        <v>332</v>
      </c>
      <c r="P33">
        <v>57</v>
      </c>
      <c r="Q33" s="1">
        <v>34157</v>
      </c>
      <c r="R33" s="2"/>
      <c r="S33" s="2"/>
      <c r="T33" t="s">
        <v>189</v>
      </c>
      <c r="U33" s="1">
        <v>5093</v>
      </c>
      <c r="V33" s="1">
        <v>1778</v>
      </c>
      <c r="W33">
        <v>470</v>
      </c>
      <c r="X33" s="1">
        <f t="shared" si="0"/>
        <v>411920</v>
      </c>
      <c r="Z33" s="9" t="s">
        <v>98</v>
      </c>
      <c r="AA33" s="56">
        <v>5</v>
      </c>
      <c r="AB33" s="57">
        <v>131441</v>
      </c>
      <c r="AC33" s="58">
        <v>54.8</v>
      </c>
      <c r="AD33" s="58">
        <v>5</v>
      </c>
      <c r="AE33" s="57">
        <v>106648</v>
      </c>
      <c r="AF33" s="58">
        <v>44.46</v>
      </c>
      <c r="AG33" s="58" t="s">
        <v>32</v>
      </c>
      <c r="AH33" s="58">
        <v>936</v>
      </c>
      <c r="AI33" s="58">
        <v>0.39</v>
      </c>
      <c r="AJ33" s="58" t="s">
        <v>32</v>
      </c>
      <c r="AK33" s="58">
        <v>842</v>
      </c>
      <c r="AL33" s="58">
        <v>0.35</v>
      </c>
      <c r="AM33" s="58" t="s">
        <v>32</v>
      </c>
      <c r="AN33" s="58" t="s">
        <v>32</v>
      </c>
      <c r="AO33" s="58" t="s">
        <v>32</v>
      </c>
      <c r="AP33" s="58" t="s">
        <v>32</v>
      </c>
      <c r="AQ33" s="57">
        <v>24793</v>
      </c>
      <c r="AR33" s="58">
        <v>10.34</v>
      </c>
      <c r="AS33" s="57">
        <v>239867</v>
      </c>
      <c r="AT33" s="56" t="s">
        <v>99</v>
      </c>
    </row>
    <row r="34" spans="1:46" ht="16.5" thickBot="1">
      <c r="A34" t="s">
        <v>190</v>
      </c>
      <c r="B34">
        <v>12</v>
      </c>
      <c r="C34" s="23">
        <v>21961</v>
      </c>
      <c r="D34" s="1">
        <v>11764</v>
      </c>
      <c r="E34" s="1">
        <v>7054</v>
      </c>
      <c r="F34">
        <v>71</v>
      </c>
      <c r="G34">
        <v>5</v>
      </c>
      <c r="H34">
        <v>4</v>
      </c>
      <c r="I34" s="1">
        <v>3063</v>
      </c>
      <c r="K34" s="23">
        <v>15608</v>
      </c>
      <c r="L34" s="1">
        <v>1491</v>
      </c>
      <c r="M34" s="1">
        <v>11765</v>
      </c>
      <c r="N34">
        <v>90</v>
      </c>
      <c r="O34">
        <v>2</v>
      </c>
      <c r="P34">
        <v>0</v>
      </c>
      <c r="Q34" s="1">
        <v>2260</v>
      </c>
      <c r="R34" s="2"/>
      <c r="S34" s="2"/>
      <c r="T34" t="s">
        <v>190</v>
      </c>
      <c r="U34">
        <v>56</v>
      </c>
      <c r="V34">
        <v>41</v>
      </c>
      <c r="W34">
        <v>83</v>
      </c>
      <c r="X34" s="1">
        <f t="shared" si="0"/>
        <v>37749</v>
      </c>
      <c r="Z34" s="9" t="s">
        <v>100</v>
      </c>
      <c r="AA34" s="56">
        <v>24</v>
      </c>
      <c r="AB34" s="57">
        <v>1627546</v>
      </c>
      <c r="AC34" s="58">
        <v>64.89</v>
      </c>
      <c r="AD34" s="58">
        <v>24</v>
      </c>
      <c r="AE34" s="57">
        <v>864210</v>
      </c>
      <c r="AF34" s="58">
        <v>34.450000000000003</v>
      </c>
      <c r="AG34" s="58" t="s">
        <v>32</v>
      </c>
      <c r="AH34" s="57">
        <v>8683</v>
      </c>
      <c r="AI34" s="58">
        <v>0.35</v>
      </c>
      <c r="AJ34" s="58" t="s">
        <v>32</v>
      </c>
      <c r="AK34" s="57">
        <v>2836</v>
      </c>
      <c r="AL34" s="58">
        <v>0.11</v>
      </c>
      <c r="AM34" s="58" t="s">
        <v>32</v>
      </c>
      <c r="AN34" s="57">
        <v>1515</v>
      </c>
      <c r="AO34" s="58">
        <v>0.06</v>
      </c>
      <c r="AP34" s="58" t="s">
        <v>32</v>
      </c>
      <c r="AQ34" s="57">
        <v>763336</v>
      </c>
      <c r="AR34" s="58">
        <v>30.43</v>
      </c>
      <c r="AS34" s="57">
        <v>2508346</v>
      </c>
      <c r="AT34" s="56" t="s">
        <v>101</v>
      </c>
    </row>
    <row r="35" spans="1:46" ht="16.5" thickBot="1">
      <c r="A35" t="s">
        <v>191</v>
      </c>
      <c r="B35">
        <v>5</v>
      </c>
      <c r="C35" s="23">
        <v>7413</v>
      </c>
      <c r="D35" s="1">
        <v>5072</v>
      </c>
      <c r="E35" s="1">
        <v>1170</v>
      </c>
      <c r="F35">
        <v>75</v>
      </c>
      <c r="G35">
        <v>8</v>
      </c>
      <c r="H35">
        <v>2</v>
      </c>
      <c r="I35" s="1">
        <v>1086</v>
      </c>
      <c r="K35" s="23">
        <v>4139</v>
      </c>
      <c r="L35" s="1">
        <v>2431</v>
      </c>
      <c r="M35">
        <v>938</v>
      </c>
      <c r="N35">
        <v>85</v>
      </c>
      <c r="O35">
        <v>12</v>
      </c>
      <c r="P35">
        <v>0</v>
      </c>
      <c r="Q35">
        <v>673</v>
      </c>
      <c r="R35" s="2"/>
      <c r="S35" s="2"/>
      <c r="T35" t="s">
        <v>191</v>
      </c>
      <c r="U35">
        <v>74</v>
      </c>
      <c r="V35">
        <v>55</v>
      </c>
      <c r="W35">
        <v>36</v>
      </c>
      <c r="X35" s="1">
        <f t="shared" si="0"/>
        <v>11717</v>
      </c>
      <c r="Z35" s="9" t="s">
        <v>102</v>
      </c>
      <c r="AA35" s="56">
        <v>10</v>
      </c>
      <c r="AB35" s="57">
        <v>394046</v>
      </c>
      <c r="AC35" s="58">
        <v>63.72</v>
      </c>
      <c r="AD35" s="58">
        <v>10</v>
      </c>
      <c r="AE35" s="57">
        <v>219174</v>
      </c>
      <c r="AF35" s="58">
        <v>35.44</v>
      </c>
      <c r="AG35" s="58" t="s">
        <v>32</v>
      </c>
      <c r="AH35" s="57">
        <v>3924</v>
      </c>
      <c r="AI35" s="58">
        <v>0.63</v>
      </c>
      <c r="AJ35" s="58" t="s">
        <v>32</v>
      </c>
      <c r="AK35" s="58" t="s">
        <v>32</v>
      </c>
      <c r="AL35" s="58" t="s">
        <v>32</v>
      </c>
      <c r="AM35" s="58" t="s">
        <v>32</v>
      </c>
      <c r="AN35" s="58" t="s">
        <v>32</v>
      </c>
      <c r="AO35" s="58" t="s">
        <v>32</v>
      </c>
      <c r="AP35" s="58" t="s">
        <v>32</v>
      </c>
      <c r="AQ35" s="57">
        <v>174872</v>
      </c>
      <c r="AR35" s="58">
        <v>28.28</v>
      </c>
      <c r="AS35" s="57">
        <v>618427</v>
      </c>
      <c r="AT35" s="56" t="s">
        <v>103</v>
      </c>
    </row>
    <row r="36" spans="1:46" ht="16.5" thickBot="1">
      <c r="A36" t="s">
        <v>192</v>
      </c>
      <c r="B36">
        <v>24</v>
      </c>
      <c r="C36" s="23">
        <v>97852</v>
      </c>
      <c r="D36" s="1">
        <v>69299</v>
      </c>
      <c r="E36" s="1">
        <v>13661</v>
      </c>
      <c r="F36">
        <v>925</v>
      </c>
      <c r="G36">
        <v>16</v>
      </c>
      <c r="H36">
        <v>26</v>
      </c>
      <c r="I36" s="1">
        <v>13925</v>
      </c>
      <c r="K36" s="23">
        <v>40719</v>
      </c>
      <c r="L36" s="1">
        <v>16836</v>
      </c>
      <c r="M36" s="1">
        <v>15839</v>
      </c>
      <c r="N36" s="1">
        <v>1392</v>
      </c>
      <c r="O36">
        <v>21</v>
      </c>
      <c r="P36">
        <v>15</v>
      </c>
      <c r="Q36" s="1">
        <v>6616</v>
      </c>
      <c r="R36" s="2"/>
      <c r="S36" s="2"/>
      <c r="T36" t="s">
        <v>192</v>
      </c>
      <c r="U36">
        <v>577</v>
      </c>
      <c r="V36">
        <v>491</v>
      </c>
      <c r="W36">
        <v>141</v>
      </c>
      <c r="X36" s="1">
        <f t="shared" si="0"/>
        <v>139780</v>
      </c>
      <c r="Z36" s="9" t="s">
        <v>104</v>
      </c>
      <c r="AA36" s="56">
        <v>5</v>
      </c>
      <c r="AB36" s="57">
        <v>205341</v>
      </c>
      <c r="AC36" s="58">
        <v>64.180000000000007</v>
      </c>
      <c r="AD36" s="58">
        <v>5</v>
      </c>
      <c r="AE36" s="57">
        <v>109223</v>
      </c>
      <c r="AF36" s="58">
        <v>34.14</v>
      </c>
      <c r="AG36" s="58" t="s">
        <v>32</v>
      </c>
      <c r="AH36" s="57">
        <v>2720</v>
      </c>
      <c r="AI36" s="58">
        <v>0.85</v>
      </c>
      <c r="AJ36" s="58" t="s">
        <v>32</v>
      </c>
      <c r="AK36" s="57">
        <v>1094</v>
      </c>
      <c r="AL36" s="58">
        <v>0.34</v>
      </c>
      <c r="AM36" s="58" t="s">
        <v>32</v>
      </c>
      <c r="AN36" s="57">
        <v>1564</v>
      </c>
      <c r="AO36" s="58">
        <v>0.49</v>
      </c>
      <c r="AP36" s="58" t="s">
        <v>32</v>
      </c>
      <c r="AQ36" s="57">
        <v>96118</v>
      </c>
      <c r="AR36" s="58">
        <v>30.04</v>
      </c>
      <c r="AS36" s="57">
        <v>319942</v>
      </c>
      <c r="AT36" s="56" t="s">
        <v>105</v>
      </c>
    </row>
    <row r="37" spans="1:46" ht="16.5" thickBot="1">
      <c r="A37" t="s">
        <v>193</v>
      </c>
      <c r="B37">
        <v>10</v>
      </c>
      <c r="C37" s="23">
        <v>29585</v>
      </c>
      <c r="D37" s="1">
        <v>14331</v>
      </c>
      <c r="E37" s="1">
        <v>10722</v>
      </c>
      <c r="F37">
        <v>90</v>
      </c>
      <c r="G37">
        <v>37</v>
      </c>
      <c r="H37">
        <v>8</v>
      </c>
      <c r="I37" s="1">
        <v>4397</v>
      </c>
      <c r="K37" s="23">
        <v>12270</v>
      </c>
      <c r="L37" s="1">
        <v>2656</v>
      </c>
      <c r="M37" s="1">
        <v>7380</v>
      </c>
      <c r="N37">
        <v>105</v>
      </c>
      <c r="O37">
        <v>14</v>
      </c>
      <c r="P37">
        <v>3</v>
      </c>
      <c r="Q37" s="1">
        <v>2112</v>
      </c>
      <c r="R37" s="2"/>
      <c r="S37" s="2"/>
      <c r="T37" t="s">
        <v>193</v>
      </c>
      <c r="U37">
        <v>246</v>
      </c>
      <c r="V37">
        <v>99</v>
      </c>
      <c r="W37">
        <v>59</v>
      </c>
      <c r="X37" s="1">
        <f t="shared" si="0"/>
        <v>42259</v>
      </c>
      <c r="Z37" s="9" t="s">
        <v>106</v>
      </c>
      <c r="AA37" s="56">
        <v>38</v>
      </c>
      <c r="AB37" s="57">
        <v>2055382</v>
      </c>
      <c r="AC37" s="58">
        <v>65.239999999999995</v>
      </c>
      <c r="AD37" s="58">
        <v>38</v>
      </c>
      <c r="AE37" s="57">
        <v>1067586</v>
      </c>
      <c r="AF37" s="58">
        <v>33.89</v>
      </c>
      <c r="AG37" s="58" t="s">
        <v>32</v>
      </c>
      <c r="AH37" s="57">
        <v>18647</v>
      </c>
      <c r="AI37" s="58">
        <v>0.59</v>
      </c>
      <c r="AJ37" s="58" t="s">
        <v>32</v>
      </c>
      <c r="AK37" s="57">
        <v>4726</v>
      </c>
      <c r="AL37" s="58">
        <v>0.15</v>
      </c>
      <c r="AM37" s="58" t="s">
        <v>32</v>
      </c>
      <c r="AN37" s="58">
        <v>380</v>
      </c>
      <c r="AO37" s="58">
        <v>0.01</v>
      </c>
      <c r="AP37" s="58" t="s">
        <v>32</v>
      </c>
      <c r="AQ37" s="57">
        <v>987796</v>
      </c>
      <c r="AR37" s="58">
        <v>31.35</v>
      </c>
      <c r="AS37" s="57">
        <v>3150610</v>
      </c>
      <c r="AT37" s="56" t="s">
        <v>107</v>
      </c>
    </row>
    <row r="38" spans="1:46" ht="16.5" thickBot="1">
      <c r="A38" t="s">
        <v>194</v>
      </c>
      <c r="B38">
        <v>5</v>
      </c>
      <c r="C38" s="23">
        <v>16102</v>
      </c>
      <c r="D38" s="1">
        <v>11263</v>
      </c>
      <c r="E38" s="1">
        <v>2170</v>
      </c>
      <c r="F38">
        <v>122</v>
      </c>
      <c r="G38">
        <v>4</v>
      </c>
      <c r="H38">
        <v>22</v>
      </c>
      <c r="I38" s="1">
        <v>2521</v>
      </c>
      <c r="K38" s="23">
        <v>7622</v>
      </c>
      <c r="L38" s="1">
        <v>3943</v>
      </c>
      <c r="M38" s="1">
        <v>2188</v>
      </c>
      <c r="N38">
        <v>242</v>
      </c>
      <c r="O38">
        <v>2</v>
      </c>
      <c r="P38">
        <v>3</v>
      </c>
      <c r="Q38" s="1">
        <v>1244</v>
      </c>
      <c r="R38" s="2"/>
      <c r="S38" s="2"/>
      <c r="T38" t="s">
        <v>194</v>
      </c>
      <c r="U38">
        <v>202</v>
      </c>
      <c r="V38">
        <v>99</v>
      </c>
      <c r="W38">
        <v>45</v>
      </c>
      <c r="X38" s="1">
        <f t="shared" si="0"/>
        <v>24070</v>
      </c>
      <c r="Z38" s="5" t="s">
        <v>109</v>
      </c>
      <c r="AA38" s="53">
        <v>5</v>
      </c>
      <c r="AB38" s="54">
        <v>117522</v>
      </c>
      <c r="AC38" s="55">
        <v>49.55</v>
      </c>
      <c r="AD38" s="55" t="s">
        <v>32</v>
      </c>
      <c r="AE38" s="54">
        <v>118973</v>
      </c>
      <c r="AF38" s="55">
        <v>50.16</v>
      </c>
      <c r="AG38" s="55">
        <v>5</v>
      </c>
      <c r="AH38" s="55" t="s">
        <v>32</v>
      </c>
      <c r="AI38" s="55" t="s">
        <v>32</v>
      </c>
      <c r="AJ38" s="55" t="s">
        <v>32</v>
      </c>
      <c r="AK38" s="55">
        <v>283</v>
      </c>
      <c r="AL38" s="55">
        <v>0.12</v>
      </c>
      <c r="AM38" s="55" t="s">
        <v>32</v>
      </c>
      <c r="AN38" s="55">
        <v>416</v>
      </c>
      <c r="AO38" s="55">
        <v>0.18</v>
      </c>
      <c r="AP38" s="55" t="s">
        <v>32</v>
      </c>
      <c r="AQ38" s="54">
        <v>-1451</v>
      </c>
      <c r="AR38" s="55">
        <v>-0.61</v>
      </c>
      <c r="AS38" s="54">
        <v>237194</v>
      </c>
      <c r="AT38" s="53" t="s">
        <v>110</v>
      </c>
    </row>
    <row r="39" spans="1:46" ht="16.5" thickBot="1">
      <c r="A39" t="s">
        <v>195</v>
      </c>
      <c r="B39">
        <v>38</v>
      </c>
      <c r="C39" s="23">
        <v>177598</v>
      </c>
      <c r="D39" s="1">
        <v>133763</v>
      </c>
      <c r="E39" s="1">
        <v>14537</v>
      </c>
      <c r="F39">
        <v>871</v>
      </c>
      <c r="G39">
        <v>89</v>
      </c>
      <c r="H39">
        <v>330</v>
      </c>
      <c r="I39" s="1">
        <v>28008</v>
      </c>
      <c r="K39" s="23">
        <v>88627</v>
      </c>
      <c r="L39" s="1">
        <v>48798</v>
      </c>
      <c r="M39" s="1">
        <v>22013</v>
      </c>
      <c r="N39" s="1">
        <v>1394</v>
      </c>
      <c r="O39">
        <v>184</v>
      </c>
      <c r="P39">
        <v>44</v>
      </c>
      <c r="Q39" s="1">
        <v>16194</v>
      </c>
      <c r="R39" s="2"/>
      <c r="S39" s="2"/>
      <c r="T39" t="s">
        <v>195</v>
      </c>
      <c r="U39" s="1">
        <v>1213</v>
      </c>
      <c r="V39">
        <v>608</v>
      </c>
      <c r="W39">
        <v>493</v>
      </c>
      <c r="X39" s="1">
        <f t="shared" si="0"/>
        <v>268539</v>
      </c>
      <c r="Z39" s="5" t="s">
        <v>111</v>
      </c>
      <c r="AA39" s="53">
        <v>9</v>
      </c>
      <c r="AB39" s="54">
        <v>5858</v>
      </c>
      <c r="AC39" s="55">
        <v>8.5399999999999991</v>
      </c>
      <c r="AD39" s="55" t="s">
        <v>32</v>
      </c>
      <c r="AE39" s="54">
        <v>62700</v>
      </c>
      <c r="AF39" s="55">
        <v>91.39</v>
      </c>
      <c r="AG39" s="55">
        <v>9</v>
      </c>
      <c r="AH39" s="55">
        <v>47</v>
      </c>
      <c r="AI39" s="55">
        <v>7.0000000000000007E-2</v>
      </c>
      <c r="AJ39" s="55" t="s">
        <v>32</v>
      </c>
      <c r="AK39" s="55" t="s">
        <v>32</v>
      </c>
      <c r="AL39" s="55" t="s">
        <v>32</v>
      </c>
      <c r="AM39" s="55" t="s">
        <v>32</v>
      </c>
      <c r="AN39" s="55" t="s">
        <v>32</v>
      </c>
      <c r="AO39" s="55" t="s">
        <v>32</v>
      </c>
      <c r="AP39" s="55" t="s">
        <v>32</v>
      </c>
      <c r="AQ39" s="54">
        <v>-56842</v>
      </c>
      <c r="AR39" s="55">
        <v>-82.85</v>
      </c>
      <c r="AS39" s="54">
        <v>68605</v>
      </c>
      <c r="AT39" s="53" t="s">
        <v>112</v>
      </c>
    </row>
    <row r="40" spans="1:46" ht="16.5" thickBot="1">
      <c r="A40" t="s">
        <v>196</v>
      </c>
      <c r="B40">
        <v>5</v>
      </c>
      <c r="C40" s="23">
        <v>10001</v>
      </c>
      <c r="D40" s="1">
        <v>8241</v>
      </c>
      <c r="E40">
        <v>374</v>
      </c>
      <c r="F40">
        <v>24</v>
      </c>
      <c r="G40">
        <v>1</v>
      </c>
      <c r="H40">
        <v>3</v>
      </c>
      <c r="I40" s="1">
        <v>1358</v>
      </c>
      <c r="K40" s="23">
        <v>4908</v>
      </c>
      <c r="L40" s="1">
        <v>2278</v>
      </c>
      <c r="M40" s="1">
        <v>1763</v>
      </c>
      <c r="N40">
        <v>74</v>
      </c>
      <c r="O40">
        <v>1</v>
      </c>
      <c r="P40">
        <v>1</v>
      </c>
      <c r="Q40">
        <v>791</v>
      </c>
      <c r="R40" s="2"/>
      <c r="S40" s="2"/>
      <c r="T40" t="s">
        <v>196</v>
      </c>
      <c r="U40">
        <v>56</v>
      </c>
      <c r="V40">
        <v>34</v>
      </c>
      <c r="W40">
        <v>12</v>
      </c>
      <c r="X40" s="1">
        <f t="shared" si="0"/>
        <v>15011</v>
      </c>
      <c r="Z40" s="9" t="s">
        <v>113</v>
      </c>
      <c r="AA40" s="56">
        <v>5</v>
      </c>
      <c r="AB40" s="57">
        <v>157603</v>
      </c>
      <c r="AC40" s="58">
        <v>60.18</v>
      </c>
      <c r="AD40" s="58">
        <v>5</v>
      </c>
      <c r="AE40" s="57">
        <v>102660</v>
      </c>
      <c r="AF40" s="58">
        <v>39.200000000000003</v>
      </c>
      <c r="AG40" s="58" t="s">
        <v>32</v>
      </c>
      <c r="AH40" s="58">
        <v>443</v>
      </c>
      <c r="AI40" s="58">
        <v>0.17</v>
      </c>
      <c r="AJ40" s="58" t="s">
        <v>32</v>
      </c>
      <c r="AK40" s="58">
        <v>232</v>
      </c>
      <c r="AL40" s="58">
        <v>0.09</v>
      </c>
      <c r="AM40" s="58" t="s">
        <v>32</v>
      </c>
      <c r="AN40" s="58" t="s">
        <v>32</v>
      </c>
      <c r="AO40" s="58" t="s">
        <v>32</v>
      </c>
      <c r="AP40" s="58" t="s">
        <v>32</v>
      </c>
      <c r="AQ40" s="57">
        <v>54943</v>
      </c>
      <c r="AR40" s="58">
        <v>20.98</v>
      </c>
      <c r="AS40" s="57">
        <v>261865</v>
      </c>
      <c r="AT40" s="56" t="s">
        <v>114</v>
      </c>
    </row>
    <row r="41" spans="1:46" ht="16.5" thickBot="1">
      <c r="A41" t="s">
        <v>197</v>
      </c>
      <c r="B41">
        <v>9</v>
      </c>
      <c r="C41" s="23">
        <v>3442</v>
      </c>
      <c r="D41">
        <v>734</v>
      </c>
      <c r="E41" s="1">
        <v>2037</v>
      </c>
      <c r="F41">
        <v>10</v>
      </c>
      <c r="G41">
        <v>1</v>
      </c>
      <c r="H41">
        <v>0</v>
      </c>
      <c r="I41">
        <v>660</v>
      </c>
      <c r="K41" s="23">
        <v>8936</v>
      </c>
      <c r="L41">
        <v>882</v>
      </c>
      <c r="M41" s="1">
        <v>6619</v>
      </c>
      <c r="N41">
        <v>8</v>
      </c>
      <c r="O41">
        <v>3</v>
      </c>
      <c r="P41">
        <v>2</v>
      </c>
      <c r="Q41" s="1">
        <v>1422</v>
      </c>
      <c r="R41" s="2"/>
      <c r="S41" s="2"/>
      <c r="T41" t="s">
        <v>197</v>
      </c>
      <c r="U41">
        <v>26</v>
      </c>
      <c r="V41">
        <v>24</v>
      </c>
      <c r="W41">
        <v>29</v>
      </c>
      <c r="X41" s="1">
        <f t="shared" si="0"/>
        <v>12457</v>
      </c>
      <c r="Z41" s="9" t="s">
        <v>115</v>
      </c>
      <c r="AA41" s="56">
        <v>12</v>
      </c>
      <c r="AB41" s="57">
        <v>195388</v>
      </c>
      <c r="AC41" s="58">
        <v>53.76</v>
      </c>
      <c r="AD41" s="58">
        <v>12</v>
      </c>
      <c r="AE41" s="57">
        <v>167343</v>
      </c>
      <c r="AF41" s="58">
        <v>46.04</v>
      </c>
      <c r="AG41" s="58" t="s">
        <v>32</v>
      </c>
      <c r="AH41" s="58">
        <v>631</v>
      </c>
      <c r="AI41" s="58">
        <v>0.17</v>
      </c>
      <c r="AJ41" s="58" t="s">
        <v>32</v>
      </c>
      <c r="AK41" s="58">
        <v>111</v>
      </c>
      <c r="AL41" s="58">
        <v>0.03</v>
      </c>
      <c r="AM41" s="58" t="s">
        <v>32</v>
      </c>
      <c r="AN41" s="58" t="s">
        <v>32</v>
      </c>
      <c r="AO41" s="58" t="s">
        <v>32</v>
      </c>
      <c r="AP41" s="58" t="s">
        <v>32</v>
      </c>
      <c r="AQ41" s="57">
        <v>28045</v>
      </c>
      <c r="AR41" s="58">
        <v>7.72</v>
      </c>
      <c r="AS41" s="57">
        <v>363473</v>
      </c>
      <c r="AT41" s="56" t="s">
        <v>116</v>
      </c>
    </row>
    <row r="42" spans="1:46" ht="16.5" thickBot="1">
      <c r="A42" t="s">
        <v>198</v>
      </c>
      <c r="B42">
        <v>5</v>
      </c>
      <c r="C42" s="23">
        <v>11016</v>
      </c>
      <c r="D42" s="1">
        <v>8279</v>
      </c>
      <c r="E42" s="1">
        <v>1116</v>
      </c>
      <c r="F42">
        <v>101</v>
      </c>
      <c r="G42">
        <v>21</v>
      </c>
      <c r="H42">
        <v>4</v>
      </c>
      <c r="I42" s="1">
        <v>1495</v>
      </c>
      <c r="K42" s="23">
        <v>4618</v>
      </c>
      <c r="L42" s="1">
        <v>2302</v>
      </c>
      <c r="M42" s="1">
        <v>1445</v>
      </c>
      <c r="N42">
        <v>128</v>
      </c>
      <c r="O42">
        <v>40</v>
      </c>
      <c r="P42">
        <v>5</v>
      </c>
      <c r="Q42">
        <v>698</v>
      </c>
      <c r="R42" s="2"/>
      <c r="S42" s="2"/>
      <c r="T42" t="s">
        <v>198</v>
      </c>
      <c r="U42">
        <v>64</v>
      </c>
      <c r="V42">
        <v>50</v>
      </c>
      <c r="W42">
        <v>33</v>
      </c>
      <c r="X42" s="1">
        <f t="shared" si="0"/>
        <v>15781</v>
      </c>
      <c r="Z42" s="9" t="s">
        <v>117</v>
      </c>
      <c r="AA42" s="56">
        <v>20</v>
      </c>
      <c r="AB42" s="57">
        <v>367036</v>
      </c>
      <c r="AC42" s="58">
        <v>51.77</v>
      </c>
      <c r="AD42" s="58">
        <v>20</v>
      </c>
      <c r="AE42" s="57">
        <v>341032</v>
      </c>
      <c r="AF42" s="58">
        <v>48.1</v>
      </c>
      <c r="AG42" s="58" t="s">
        <v>32</v>
      </c>
      <c r="AH42" s="58">
        <v>722</v>
      </c>
      <c r="AI42" s="58">
        <v>0.1</v>
      </c>
      <c r="AJ42" s="58" t="s">
        <v>32</v>
      </c>
      <c r="AK42" s="58">
        <v>209</v>
      </c>
      <c r="AL42" s="58">
        <v>0.03</v>
      </c>
      <c r="AM42" s="58" t="s">
        <v>32</v>
      </c>
      <c r="AN42" s="58" t="s">
        <v>32</v>
      </c>
      <c r="AO42" s="58" t="s">
        <v>32</v>
      </c>
      <c r="AP42" s="58" t="s">
        <v>32</v>
      </c>
      <c r="AQ42" s="57">
        <v>26004</v>
      </c>
      <c r="AR42" s="58">
        <v>3.67</v>
      </c>
      <c r="AS42" s="57">
        <v>708999</v>
      </c>
      <c r="AT42" s="56" t="s">
        <v>118</v>
      </c>
    </row>
    <row r="43" spans="1:46" ht="16.5" thickBot="1">
      <c r="A43" t="s">
        <v>199</v>
      </c>
      <c r="B43">
        <v>12</v>
      </c>
      <c r="C43" s="23">
        <v>22817</v>
      </c>
      <c r="D43" s="1">
        <v>12019</v>
      </c>
      <c r="E43" s="1">
        <v>7386</v>
      </c>
      <c r="F43">
        <v>66</v>
      </c>
      <c r="G43">
        <v>6</v>
      </c>
      <c r="H43">
        <v>4</v>
      </c>
      <c r="I43" s="1">
        <v>3336</v>
      </c>
      <c r="K43" s="23">
        <v>15664</v>
      </c>
      <c r="L43" s="1">
        <v>1944</v>
      </c>
      <c r="M43" s="1">
        <v>11202</v>
      </c>
      <c r="N43">
        <v>91</v>
      </c>
      <c r="O43">
        <v>2</v>
      </c>
      <c r="P43">
        <v>2</v>
      </c>
      <c r="Q43" s="1">
        <v>2423</v>
      </c>
      <c r="R43" s="2"/>
      <c r="S43" s="2"/>
      <c r="T43" t="s">
        <v>199</v>
      </c>
      <c r="U43">
        <v>60</v>
      </c>
      <c r="V43">
        <v>39</v>
      </c>
      <c r="W43">
        <v>82</v>
      </c>
      <c r="X43" s="1">
        <f t="shared" si="0"/>
        <v>38662</v>
      </c>
      <c r="Z43" s="9" t="s">
        <v>119</v>
      </c>
      <c r="AA43" s="56">
        <v>4</v>
      </c>
      <c r="AB43" s="57">
        <v>94618</v>
      </c>
      <c r="AC43" s="58">
        <v>53.58</v>
      </c>
      <c r="AD43" s="58">
        <v>4</v>
      </c>
      <c r="AE43" s="57">
        <v>80985</v>
      </c>
      <c r="AF43" s="58">
        <v>45.86</v>
      </c>
      <c r="AG43" s="58" t="s">
        <v>32</v>
      </c>
      <c r="AH43" s="58">
        <v>954</v>
      </c>
      <c r="AI43" s="58">
        <v>0.54</v>
      </c>
      <c r="AJ43" s="58" t="s">
        <v>32</v>
      </c>
      <c r="AK43" s="58">
        <v>46</v>
      </c>
      <c r="AL43" s="58">
        <v>0.03</v>
      </c>
      <c r="AM43" s="58" t="s">
        <v>32</v>
      </c>
      <c r="AN43" s="58" t="s">
        <v>32</v>
      </c>
      <c r="AO43" s="58" t="s">
        <v>32</v>
      </c>
      <c r="AP43" s="58" t="s">
        <v>32</v>
      </c>
      <c r="AQ43" s="57">
        <v>13633</v>
      </c>
      <c r="AR43" s="58">
        <v>7.72</v>
      </c>
      <c r="AS43" s="57">
        <v>176603</v>
      </c>
      <c r="AT43" s="56" t="s">
        <v>120</v>
      </c>
    </row>
    <row r="44" spans="1:46" ht="16.5" thickBot="1">
      <c r="A44" t="s">
        <v>200</v>
      </c>
      <c r="B44">
        <v>20</v>
      </c>
      <c r="C44" s="23">
        <v>52864</v>
      </c>
      <c r="D44" s="1">
        <v>13859</v>
      </c>
      <c r="E44" s="1">
        <v>31476</v>
      </c>
      <c r="F44">
        <v>155</v>
      </c>
      <c r="G44">
        <v>9</v>
      </c>
      <c r="H44">
        <v>5</v>
      </c>
      <c r="I44" s="1">
        <v>7360</v>
      </c>
      <c r="K44" s="23">
        <v>35626</v>
      </c>
      <c r="L44" s="1">
        <v>3876</v>
      </c>
      <c r="M44" s="1">
        <v>26205</v>
      </c>
      <c r="N44">
        <v>204</v>
      </c>
      <c r="O44">
        <v>5</v>
      </c>
      <c r="P44">
        <v>0</v>
      </c>
      <c r="Q44" s="1">
        <v>5336</v>
      </c>
      <c r="R44" s="2"/>
      <c r="S44" s="2"/>
      <c r="T44" t="s">
        <v>200</v>
      </c>
      <c r="U44">
        <v>186</v>
      </c>
      <c r="V44">
        <v>98</v>
      </c>
      <c r="W44">
        <v>88</v>
      </c>
      <c r="X44" s="1">
        <f t="shared" si="0"/>
        <v>88862</v>
      </c>
      <c r="Z44" s="9" t="s">
        <v>121</v>
      </c>
      <c r="AA44" s="56">
        <v>4</v>
      </c>
      <c r="AB44" s="57">
        <v>90404</v>
      </c>
      <c r="AC44" s="58">
        <v>66.87</v>
      </c>
      <c r="AD44" s="58">
        <v>4</v>
      </c>
      <c r="AE44" s="57">
        <v>44440</v>
      </c>
      <c r="AF44" s="58">
        <v>32.869999999999997</v>
      </c>
      <c r="AG44" s="58" t="s">
        <v>32</v>
      </c>
      <c r="AH44" s="58" t="s">
        <v>32</v>
      </c>
      <c r="AI44" s="58" t="s">
        <v>32</v>
      </c>
      <c r="AJ44" s="58" t="s">
        <v>32</v>
      </c>
      <c r="AK44" s="58" t="s">
        <v>32</v>
      </c>
      <c r="AL44" s="58" t="s">
        <v>32</v>
      </c>
      <c r="AM44" s="58" t="s">
        <v>32</v>
      </c>
      <c r="AN44" s="58" t="s">
        <v>32</v>
      </c>
      <c r="AO44" s="58" t="s">
        <v>32</v>
      </c>
      <c r="AP44" s="58" t="s">
        <v>32</v>
      </c>
      <c r="AQ44" s="57">
        <v>45964</v>
      </c>
      <c r="AR44" s="58">
        <v>34</v>
      </c>
      <c r="AS44" s="57">
        <v>135191</v>
      </c>
      <c r="AT44" s="56" t="s">
        <v>122</v>
      </c>
    </row>
    <row r="45" spans="1:46" ht="16.5" thickBot="1">
      <c r="A45" t="s">
        <v>201</v>
      </c>
      <c r="B45">
        <v>4</v>
      </c>
      <c r="C45" s="23">
        <v>5316</v>
      </c>
      <c r="D45" s="1">
        <v>3761</v>
      </c>
      <c r="E45">
        <v>668</v>
      </c>
      <c r="F45">
        <v>49</v>
      </c>
      <c r="G45">
        <v>6</v>
      </c>
      <c r="H45">
        <v>0</v>
      </c>
      <c r="I45">
        <v>832</v>
      </c>
      <c r="K45" s="23">
        <v>3539</v>
      </c>
      <c r="L45" s="1">
        <v>1436</v>
      </c>
      <c r="M45" s="1">
        <v>1381</v>
      </c>
      <c r="N45">
        <v>120</v>
      </c>
      <c r="O45">
        <v>25</v>
      </c>
      <c r="P45">
        <v>0</v>
      </c>
      <c r="Q45">
        <v>577</v>
      </c>
      <c r="R45" s="2"/>
      <c r="S45" s="2"/>
      <c r="T45" t="s">
        <v>201</v>
      </c>
      <c r="U45">
        <v>53</v>
      </c>
      <c r="V45">
        <v>24</v>
      </c>
      <c r="W45">
        <v>11</v>
      </c>
      <c r="X45" s="1">
        <f t="shared" si="0"/>
        <v>8943</v>
      </c>
      <c r="Z45" s="9" t="s">
        <v>123</v>
      </c>
      <c r="AA45" s="56">
        <v>12</v>
      </c>
      <c r="AB45" s="57">
        <v>164609</v>
      </c>
      <c r="AC45" s="58">
        <v>53.91</v>
      </c>
      <c r="AD45" s="58">
        <v>12</v>
      </c>
      <c r="AE45" s="57">
        <v>140146</v>
      </c>
      <c r="AF45" s="58">
        <v>45.9</v>
      </c>
      <c r="AG45" s="58" t="s">
        <v>32</v>
      </c>
      <c r="AH45" s="58">
        <v>250</v>
      </c>
      <c r="AI45" s="58">
        <v>0.08</v>
      </c>
      <c r="AJ45" s="58" t="s">
        <v>32</v>
      </c>
      <c r="AK45" s="58">
        <v>173</v>
      </c>
      <c r="AL45" s="58">
        <v>0.06</v>
      </c>
      <c r="AM45" s="58" t="s">
        <v>32</v>
      </c>
      <c r="AN45" s="58">
        <v>180</v>
      </c>
      <c r="AO45" s="58">
        <v>0.06</v>
      </c>
      <c r="AP45" s="58" t="s">
        <v>32</v>
      </c>
      <c r="AQ45" s="57">
        <v>24463</v>
      </c>
      <c r="AR45" s="58">
        <v>8.01</v>
      </c>
      <c r="AS45" s="57">
        <v>305358</v>
      </c>
      <c r="AT45" s="56" t="s">
        <v>124</v>
      </c>
    </row>
    <row r="46" spans="1:46" ht="16.5" thickBot="1">
      <c r="A46" t="s">
        <v>202</v>
      </c>
      <c r="B46">
        <v>4</v>
      </c>
      <c r="C46" s="23">
        <v>9053</v>
      </c>
      <c r="D46" s="1">
        <v>7240</v>
      </c>
      <c r="E46">
        <v>377</v>
      </c>
      <c r="F46">
        <v>20</v>
      </c>
      <c r="G46">
        <v>2</v>
      </c>
      <c r="H46">
        <v>4</v>
      </c>
      <c r="I46" s="1">
        <v>1410</v>
      </c>
      <c r="K46" s="23">
        <v>2660</v>
      </c>
      <c r="L46" s="1">
        <v>1174</v>
      </c>
      <c r="M46">
        <v>966</v>
      </c>
      <c r="N46">
        <v>40</v>
      </c>
      <c r="O46">
        <v>1</v>
      </c>
      <c r="P46">
        <v>1</v>
      </c>
      <c r="Q46">
        <v>478</v>
      </c>
      <c r="R46" s="2"/>
      <c r="S46" s="2"/>
      <c r="T46" t="s">
        <v>202</v>
      </c>
      <c r="U46">
        <v>27</v>
      </c>
      <c r="V46">
        <v>22</v>
      </c>
      <c r="W46">
        <v>29</v>
      </c>
      <c r="X46" s="1">
        <f t="shared" si="0"/>
        <v>11791</v>
      </c>
      <c r="Z46" s="9" t="s">
        <v>125</v>
      </c>
      <c r="AA46" s="56">
        <v>7</v>
      </c>
      <c r="AB46" s="57">
        <v>335844</v>
      </c>
      <c r="AC46" s="58">
        <v>67.06</v>
      </c>
      <c r="AD46" s="58">
        <v>7</v>
      </c>
      <c r="AE46" s="57">
        <v>156772</v>
      </c>
      <c r="AF46" s="58">
        <v>31.3</v>
      </c>
      <c r="AG46" s="58" t="s">
        <v>32</v>
      </c>
      <c r="AH46" s="57">
        <v>2615</v>
      </c>
      <c r="AI46" s="58">
        <v>0.52</v>
      </c>
      <c r="AJ46" s="58" t="s">
        <v>32</v>
      </c>
      <c r="AK46" s="57">
        <v>1541</v>
      </c>
      <c r="AL46" s="58">
        <v>0.31</v>
      </c>
      <c r="AM46" s="58" t="s">
        <v>32</v>
      </c>
      <c r="AN46" s="57">
        <v>4068</v>
      </c>
      <c r="AO46" s="58">
        <v>0.81</v>
      </c>
      <c r="AP46" s="58" t="s">
        <v>32</v>
      </c>
      <c r="AQ46" s="57">
        <v>179072</v>
      </c>
      <c r="AR46" s="58">
        <v>35.75</v>
      </c>
      <c r="AS46" s="57">
        <v>500840</v>
      </c>
      <c r="AT46" s="56" t="s">
        <v>126</v>
      </c>
    </row>
    <row r="47" spans="1:46" ht="16.5" thickBot="1">
      <c r="A47" t="s">
        <v>203</v>
      </c>
      <c r="B47">
        <v>12</v>
      </c>
      <c r="C47" s="23">
        <v>24019</v>
      </c>
      <c r="D47" s="1">
        <v>10050</v>
      </c>
      <c r="E47" s="1">
        <v>10018</v>
      </c>
      <c r="F47">
        <v>150</v>
      </c>
      <c r="G47">
        <v>8</v>
      </c>
      <c r="H47">
        <v>19</v>
      </c>
      <c r="I47" s="1">
        <v>3774</v>
      </c>
      <c r="K47" s="23">
        <v>15870</v>
      </c>
      <c r="L47" s="1">
        <v>2013</v>
      </c>
      <c r="M47" s="1">
        <v>11365</v>
      </c>
      <c r="N47">
        <v>108</v>
      </c>
      <c r="O47">
        <v>4</v>
      </c>
      <c r="P47">
        <v>1</v>
      </c>
      <c r="Q47" s="1">
        <v>2379</v>
      </c>
      <c r="R47" s="2"/>
      <c r="S47" s="2"/>
      <c r="T47" t="s">
        <v>203</v>
      </c>
      <c r="U47">
        <v>73</v>
      </c>
      <c r="V47">
        <v>50</v>
      </c>
      <c r="W47">
        <v>74</v>
      </c>
      <c r="X47" s="1">
        <f t="shared" si="0"/>
        <v>40086</v>
      </c>
      <c r="Z47" s="9" t="s">
        <v>127</v>
      </c>
      <c r="AA47" s="56">
        <v>8</v>
      </c>
      <c r="AB47" s="57">
        <v>375551</v>
      </c>
      <c r="AC47" s="58">
        <v>58.43</v>
      </c>
      <c r="AD47" s="58">
        <v>8</v>
      </c>
      <c r="AE47" s="57">
        <v>263784</v>
      </c>
      <c r="AF47" s="58">
        <v>41.04</v>
      </c>
      <c r="AG47" s="58" t="s">
        <v>32</v>
      </c>
      <c r="AH47" s="57">
        <v>1313</v>
      </c>
      <c r="AI47" s="58">
        <v>0.2</v>
      </c>
      <c r="AJ47" s="58" t="s">
        <v>32</v>
      </c>
      <c r="AK47" s="58">
        <v>401</v>
      </c>
      <c r="AL47" s="58">
        <v>0.06</v>
      </c>
      <c r="AM47" s="58" t="s">
        <v>32</v>
      </c>
      <c r="AN47" s="58" t="s">
        <v>32</v>
      </c>
      <c r="AO47" s="58" t="s">
        <v>32</v>
      </c>
      <c r="AP47" s="58" t="s">
        <v>32</v>
      </c>
      <c r="AQ47" s="57">
        <v>111767</v>
      </c>
      <c r="AR47" s="58">
        <v>17.39</v>
      </c>
      <c r="AS47" s="57">
        <v>642752</v>
      </c>
      <c r="AT47" s="56" t="s">
        <v>128</v>
      </c>
    </row>
    <row r="48" spans="1:46" ht="16.5" thickBot="1">
      <c r="A48" t="s">
        <v>204</v>
      </c>
      <c r="B48">
        <v>7</v>
      </c>
      <c r="C48" s="23">
        <v>24191</v>
      </c>
      <c r="D48" s="1">
        <v>17334</v>
      </c>
      <c r="E48" s="1">
        <v>2619</v>
      </c>
      <c r="F48">
        <v>365</v>
      </c>
      <c r="G48">
        <v>64</v>
      </c>
      <c r="H48">
        <v>28</v>
      </c>
      <c r="I48" s="1">
        <v>3781</v>
      </c>
      <c r="K48" s="23">
        <v>9821</v>
      </c>
      <c r="L48" s="1">
        <v>5100</v>
      </c>
      <c r="M48" s="1">
        <v>2500</v>
      </c>
      <c r="N48">
        <v>367</v>
      </c>
      <c r="O48">
        <v>97</v>
      </c>
      <c r="P48">
        <v>8</v>
      </c>
      <c r="Q48" s="1">
        <v>1749</v>
      </c>
      <c r="R48" s="2"/>
      <c r="S48" s="2"/>
      <c r="T48" t="s">
        <v>204</v>
      </c>
      <c r="U48">
        <v>268</v>
      </c>
      <c r="V48">
        <v>121</v>
      </c>
      <c r="W48">
        <v>115</v>
      </c>
      <c r="X48" s="1">
        <f t="shared" si="0"/>
        <v>34516</v>
      </c>
      <c r="Z48" s="9" t="s">
        <v>129</v>
      </c>
      <c r="AA48" s="56">
        <v>13</v>
      </c>
      <c r="AB48" s="57">
        <v>544205</v>
      </c>
      <c r="AC48" s="58">
        <v>53.52</v>
      </c>
      <c r="AD48" s="58">
        <v>13</v>
      </c>
      <c r="AE48" s="57">
        <v>450259</v>
      </c>
      <c r="AF48" s="58">
        <v>44.28</v>
      </c>
      <c r="AG48" s="58" t="s">
        <v>32</v>
      </c>
      <c r="AH48" s="57">
        <v>18213</v>
      </c>
      <c r="AI48" s="58">
        <v>1.79</v>
      </c>
      <c r="AJ48" s="58" t="s">
        <v>32</v>
      </c>
      <c r="AK48" s="57">
        <v>1528</v>
      </c>
      <c r="AL48" s="58">
        <v>0.15</v>
      </c>
      <c r="AM48" s="58" t="s">
        <v>32</v>
      </c>
      <c r="AN48" s="58">
        <v>381</v>
      </c>
      <c r="AO48" s="58">
        <v>0.04</v>
      </c>
      <c r="AP48" s="58" t="s">
        <v>32</v>
      </c>
      <c r="AQ48" s="57">
        <v>93946</v>
      </c>
      <c r="AR48" s="58">
        <v>9.24</v>
      </c>
      <c r="AS48" s="57">
        <v>1016831</v>
      </c>
      <c r="AT48" s="56" t="s">
        <v>130</v>
      </c>
    </row>
    <row r="49" spans="1:46" ht="16.5" thickBot="1">
      <c r="A49" t="s">
        <v>205</v>
      </c>
      <c r="B49">
        <v>8</v>
      </c>
      <c r="C49" s="23">
        <v>17480</v>
      </c>
      <c r="D49" s="1">
        <v>11822</v>
      </c>
      <c r="E49" s="1">
        <v>3407</v>
      </c>
      <c r="F49">
        <v>95</v>
      </c>
      <c r="G49">
        <v>7</v>
      </c>
      <c r="H49">
        <v>6</v>
      </c>
      <c r="I49" s="1">
        <v>2143</v>
      </c>
      <c r="K49" s="23">
        <v>9606</v>
      </c>
      <c r="L49" s="1">
        <v>2382</v>
      </c>
      <c r="M49" s="1">
        <v>5881</v>
      </c>
      <c r="N49">
        <v>98</v>
      </c>
      <c r="O49">
        <v>22</v>
      </c>
      <c r="P49">
        <v>2</v>
      </c>
      <c r="Q49" s="1">
        <v>1221</v>
      </c>
      <c r="R49" s="2"/>
      <c r="S49" s="2"/>
      <c r="T49" t="s">
        <v>205</v>
      </c>
      <c r="U49">
        <v>61</v>
      </c>
      <c r="V49">
        <v>41</v>
      </c>
      <c r="W49">
        <v>28</v>
      </c>
      <c r="X49" s="1">
        <f t="shared" si="0"/>
        <v>27216</v>
      </c>
      <c r="Z49" s="9" t="s">
        <v>131</v>
      </c>
      <c r="AA49" s="56">
        <v>3</v>
      </c>
      <c r="AB49" s="57">
        <v>52748</v>
      </c>
      <c r="AC49" s="58">
        <v>63.68</v>
      </c>
      <c r="AD49" s="58">
        <v>3</v>
      </c>
      <c r="AE49" s="57">
        <v>29299</v>
      </c>
      <c r="AF49" s="58">
        <v>35.369999999999997</v>
      </c>
      <c r="AG49" s="58" t="s">
        <v>32</v>
      </c>
      <c r="AH49" s="58">
        <v>788</v>
      </c>
      <c r="AI49" s="58">
        <v>0.95</v>
      </c>
      <c r="AJ49" s="58" t="s">
        <v>32</v>
      </c>
      <c r="AK49" s="58" t="s">
        <v>32</v>
      </c>
      <c r="AL49" s="58" t="s">
        <v>32</v>
      </c>
      <c r="AM49" s="58" t="s">
        <v>32</v>
      </c>
      <c r="AN49" s="58" t="s">
        <v>32</v>
      </c>
      <c r="AO49" s="58" t="s">
        <v>32</v>
      </c>
      <c r="AP49" s="58" t="s">
        <v>32</v>
      </c>
      <c r="AQ49" s="57">
        <v>23449</v>
      </c>
      <c r="AR49" s="58">
        <v>28.31</v>
      </c>
      <c r="AS49" s="57">
        <v>82835</v>
      </c>
      <c r="AT49" s="56" t="s">
        <v>132</v>
      </c>
    </row>
    <row r="50" spans="1:46" ht="16.5" thickBot="1">
      <c r="A50" t="s">
        <v>206</v>
      </c>
      <c r="B50">
        <v>13</v>
      </c>
      <c r="C50" s="23">
        <v>32085</v>
      </c>
      <c r="D50" s="1">
        <v>24470</v>
      </c>
      <c r="E50" s="1">
        <v>1795</v>
      </c>
      <c r="F50">
        <v>606</v>
      </c>
      <c r="G50" s="1">
        <v>2</v>
      </c>
      <c r="H50">
        <v>67</v>
      </c>
      <c r="I50" s="1">
        <v>5145</v>
      </c>
      <c r="K50" s="23">
        <v>22175</v>
      </c>
      <c r="L50" s="1">
        <v>11299</v>
      </c>
      <c r="M50" s="1">
        <v>5463</v>
      </c>
      <c r="N50" s="1">
        <v>1159</v>
      </c>
      <c r="O50">
        <v>3</v>
      </c>
      <c r="P50">
        <v>20</v>
      </c>
      <c r="Q50" s="1">
        <v>4231</v>
      </c>
      <c r="R50" s="2"/>
      <c r="S50" s="2"/>
      <c r="T50" t="s">
        <v>206</v>
      </c>
      <c r="U50">
        <v>841</v>
      </c>
      <c r="V50">
        <v>158</v>
      </c>
      <c r="W50">
        <v>172</v>
      </c>
      <c r="X50" s="1">
        <f t="shared" si="0"/>
        <v>55431</v>
      </c>
      <c r="Z50" s="61" t="s">
        <v>134</v>
      </c>
      <c r="AA50" s="61">
        <v>531</v>
      </c>
      <c r="AB50" s="60">
        <v>21427123</v>
      </c>
      <c r="AC50" s="61">
        <v>58.21</v>
      </c>
      <c r="AD50" s="61">
        <v>444</v>
      </c>
      <c r="AE50" s="60">
        <v>15015464</v>
      </c>
      <c r="AF50" s="61">
        <v>40.799999999999997</v>
      </c>
      <c r="AG50" s="61">
        <v>87</v>
      </c>
      <c r="AH50" s="60">
        <v>267478</v>
      </c>
      <c r="AI50" s="61">
        <v>0.73</v>
      </c>
      <c r="AJ50" s="61" t="s">
        <v>32</v>
      </c>
      <c r="AK50" s="60">
        <v>48551</v>
      </c>
      <c r="AL50" s="61">
        <v>0.13</v>
      </c>
      <c r="AM50" s="61" t="s">
        <v>32</v>
      </c>
      <c r="AN50" s="60">
        <v>21590</v>
      </c>
      <c r="AO50" s="61">
        <v>0.06</v>
      </c>
      <c r="AP50" s="61" t="s">
        <v>32</v>
      </c>
      <c r="AQ50" s="60">
        <v>6411659</v>
      </c>
      <c r="AR50" s="61">
        <v>17.420000000000002</v>
      </c>
      <c r="AS50" s="60">
        <v>36807012</v>
      </c>
      <c r="AT50" s="65" t="s">
        <v>135</v>
      </c>
    </row>
    <row r="51" spans="1:46" ht="15.75">
      <c r="A51" t="s">
        <v>207</v>
      </c>
      <c r="B51">
        <v>3</v>
      </c>
      <c r="C51" s="23">
        <v>2849</v>
      </c>
      <c r="D51" s="1">
        <v>2005</v>
      </c>
      <c r="E51">
        <v>389</v>
      </c>
      <c r="F51">
        <v>39</v>
      </c>
      <c r="G51">
        <v>1</v>
      </c>
      <c r="H51">
        <v>0</v>
      </c>
      <c r="I51">
        <v>415</v>
      </c>
      <c r="K51" s="23">
        <v>1263</v>
      </c>
      <c r="L51">
        <v>465</v>
      </c>
      <c r="M51">
        <v>495</v>
      </c>
      <c r="N51">
        <v>66</v>
      </c>
      <c r="O51">
        <v>5</v>
      </c>
      <c r="P51">
        <v>0</v>
      </c>
      <c r="Q51">
        <v>232</v>
      </c>
      <c r="R51" s="2"/>
      <c r="S51" s="2"/>
      <c r="T51" t="s">
        <v>207</v>
      </c>
      <c r="U51">
        <v>25</v>
      </c>
      <c r="V51">
        <v>16</v>
      </c>
      <c r="W51">
        <v>7</v>
      </c>
      <c r="X51" s="1">
        <f t="shared" si="0"/>
        <v>4160</v>
      </c>
    </row>
    <row r="52" spans="1:46" ht="15.75">
      <c r="A52" t="s">
        <v>208</v>
      </c>
      <c r="C52" s="23">
        <v>9007</v>
      </c>
      <c r="D52" s="1">
        <v>5134</v>
      </c>
      <c r="E52" s="1">
        <v>1321</v>
      </c>
      <c r="F52">
        <v>64</v>
      </c>
      <c r="G52">
        <v>3</v>
      </c>
      <c r="H52">
        <v>14</v>
      </c>
      <c r="I52" s="1">
        <v>2471</v>
      </c>
      <c r="K52" s="23">
        <v>6757</v>
      </c>
      <c r="L52" s="1">
        <v>1866</v>
      </c>
      <c r="M52" s="1">
        <v>2861</v>
      </c>
      <c r="N52">
        <v>128</v>
      </c>
      <c r="O52">
        <v>7</v>
      </c>
      <c r="P52">
        <v>2</v>
      </c>
      <c r="Q52" s="1">
        <v>1893</v>
      </c>
      <c r="R52" s="2"/>
      <c r="S52" s="2"/>
      <c r="T52" t="s">
        <v>209</v>
      </c>
      <c r="U52">
        <v>116</v>
      </c>
      <c r="V52">
        <v>62</v>
      </c>
      <c r="W52">
        <v>87</v>
      </c>
      <c r="X52" s="1">
        <f t="shared" si="0"/>
        <v>16029</v>
      </c>
    </row>
    <row r="53" spans="1:46" ht="15.75">
      <c r="A53" t="s">
        <v>210</v>
      </c>
      <c r="B53">
        <v>531</v>
      </c>
      <c r="C53" s="23">
        <v>1750584</v>
      </c>
      <c r="D53" s="1">
        <v>1206325</v>
      </c>
      <c r="E53" s="1">
        <v>264483</v>
      </c>
      <c r="F53" s="1">
        <v>12637</v>
      </c>
      <c r="G53" s="1">
        <v>1302</v>
      </c>
      <c r="H53" s="1">
        <v>1523</v>
      </c>
      <c r="I53" s="1">
        <v>264314</v>
      </c>
      <c r="K53" s="23">
        <v>987795</v>
      </c>
      <c r="L53" s="1">
        <v>360447</v>
      </c>
      <c r="M53" s="1">
        <v>443510</v>
      </c>
      <c r="N53" s="1">
        <v>21514</v>
      </c>
      <c r="O53" s="1">
        <v>1822</v>
      </c>
      <c r="P53">
        <v>397</v>
      </c>
      <c r="Q53" s="1">
        <v>170105</v>
      </c>
      <c r="R53" s="2"/>
      <c r="S53" s="2"/>
      <c r="T53" t="s">
        <v>210</v>
      </c>
      <c r="U53">
        <v>16456</v>
      </c>
      <c r="V53">
        <v>7879</v>
      </c>
      <c r="W53">
        <f>4919-370</f>
        <v>4549</v>
      </c>
      <c r="X53" s="1">
        <f>C53+K53+SUM(U53:W53)</f>
        <v>2767263</v>
      </c>
    </row>
    <row r="55" spans="1:46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6">
      <c r="C56" s="2"/>
      <c r="D56" s="2"/>
      <c r="E56" s="2"/>
      <c r="K56" s="1"/>
      <c r="U56" s="1"/>
      <c r="V56" s="1"/>
      <c r="W56" s="1"/>
      <c r="X56" s="1"/>
    </row>
    <row r="57" spans="1:46">
      <c r="C57" s="1"/>
      <c r="D57" s="59"/>
      <c r="K57" s="1"/>
      <c r="U57" s="1"/>
      <c r="V57" s="1"/>
      <c r="W57" s="1"/>
      <c r="X57" s="1"/>
    </row>
  </sheetData>
  <mergeCells count="3">
    <mergeCell ref="D1:I1"/>
    <mergeCell ref="L1:Q1"/>
    <mergeCell ref="U1:W1"/>
  </mergeCells>
  <hyperlinks>
    <hyperlink ref="AU3" r:id="rId1" xr:uid="{D8E4CDA9-CD9E-47F6-A0EF-45CE9811DF42}"/>
    <hyperlink ref="Z2" r:id="rId2" tooltip="1928 United States presidential election in Alabama" display="https://en.wikipedia.org/wiki/1928_United_States_presidential_election_in_Alabama" xr:uid="{80CFA56C-6B15-4036-949B-8DC60A3D3CD8}"/>
    <hyperlink ref="Z3" r:id="rId3" tooltip="1928 United States presidential election in Arizona" display="https://en.wikipedia.org/wiki/1928_United_States_presidential_election_in_Arizona" xr:uid="{068A400B-48A9-4C7C-BF13-96339FF140CD}"/>
    <hyperlink ref="Z4" r:id="rId4" tooltip="1928 United States presidential election in Arkansas" display="https://en.wikipedia.org/wiki/1928_United_States_presidential_election_in_Arkansas" xr:uid="{FAB5AA06-3958-46AA-9251-9C4C05B1F1F6}"/>
    <hyperlink ref="Z5" r:id="rId5" tooltip="1928 United States presidential election in California" display="https://en.wikipedia.org/wiki/1928_United_States_presidential_election_in_California" xr:uid="{4118AEFB-A38F-4048-9EA2-D588FF1D54D2}"/>
    <hyperlink ref="Z6" r:id="rId6" tooltip="1928 United States presidential election in Colorado" display="https://en.wikipedia.org/wiki/1928_United_States_presidential_election_in_Colorado" xr:uid="{2BD9C680-8181-4724-BFD8-459FD0949ECF}"/>
    <hyperlink ref="Z7" r:id="rId7" tooltip="1928 United States presidential election in Connecticut" display="https://en.wikipedia.org/wiki/1928_United_States_presidential_election_in_Connecticut" xr:uid="{B6A43BF5-562D-409E-8AF8-79EE52332B64}"/>
    <hyperlink ref="Z8" r:id="rId8" tooltip="1928 United States presidential election in Delaware" display="https://en.wikipedia.org/wiki/1928_United_States_presidential_election_in_Delaware" xr:uid="{0B73F556-894B-440B-BCC4-8AB4B7BAB550}"/>
    <hyperlink ref="Z9" r:id="rId9" tooltip="1928 United States presidential election in Florida" display="https://en.wikipedia.org/wiki/1928_United_States_presidential_election_in_Florida" xr:uid="{D78E75C9-8E57-4FAF-B6A9-741D4D6696CB}"/>
    <hyperlink ref="Z10" r:id="rId10" tooltip="1928 United States presidential election in Georgia" display="https://en.wikipedia.org/wiki/1928_United_States_presidential_election_in_Georgia" xr:uid="{DC771EF4-22E6-469E-9D76-47004FF07069}"/>
    <hyperlink ref="Z11" r:id="rId11" tooltip="1928 United States presidential election in Idaho" display="https://en.wikipedia.org/wiki/1928_United_States_presidential_election_in_Idaho" xr:uid="{9F03D94F-A1A1-40AA-A5BA-6A84A0F38F21}"/>
    <hyperlink ref="Z12" r:id="rId12" tooltip="1928 United States presidential election in Illinois" display="https://en.wikipedia.org/wiki/1928_United_States_presidential_election_in_Illinois" xr:uid="{13AED0C3-4666-49AD-8ED8-F46C04877D2F}"/>
    <hyperlink ref="Z13" r:id="rId13" tooltip="1928 United States presidential election in Indiana" display="https://en.wikipedia.org/wiki/1928_United_States_presidential_election_in_Indiana" xr:uid="{0818D146-59D9-473F-8AF3-34B59529C120}"/>
    <hyperlink ref="Z14" r:id="rId14" tooltip="1928 United States presidential election in Iowa" display="https://en.wikipedia.org/wiki/1928_United_States_presidential_election_in_Iowa" xr:uid="{A8FC02EB-6A89-41A6-B22F-3270DA2043A1}"/>
    <hyperlink ref="Z15" r:id="rId15" tooltip="1928 United States presidential election in Kansas" display="https://en.wikipedia.org/wiki/1928_United_States_presidential_election_in_Kansas" xr:uid="{1F2C18DB-E51D-4904-9E09-9A8BC8BEE745}"/>
    <hyperlink ref="Z16" r:id="rId16" tooltip="1928 United States presidential election in Kentucky" display="https://en.wikipedia.org/wiki/1928_United_States_presidential_election_in_Kentucky" xr:uid="{00F72255-CAB1-4AFB-B374-B5AFB37C84A4}"/>
    <hyperlink ref="Z17" r:id="rId17" tooltip="1928 United States presidential election in Louisiana" display="https://en.wikipedia.org/wiki/1928_United_States_presidential_election_in_Louisiana" xr:uid="{C450FF1B-F5FC-41AB-B77E-1C6348BF8A67}"/>
    <hyperlink ref="Z18" r:id="rId18" tooltip="1928 United States presidential election in Maine" display="https://en.wikipedia.org/wiki/1928_United_States_presidential_election_in_Maine" xr:uid="{812EE646-B675-47A1-814D-223648BF1D14}"/>
    <hyperlink ref="Z19" r:id="rId19" tooltip="1928 United States presidential election in Maryland" display="https://en.wikipedia.org/wiki/1928_United_States_presidential_election_in_Maryland" xr:uid="{C6544DA3-ADE2-44E4-ABE2-C9FD3EB27FA8}"/>
    <hyperlink ref="Z20" r:id="rId20" tooltip="1928 United States presidential election in Massachusetts" display="https://en.wikipedia.org/wiki/1928_United_States_presidential_election_in_Massachusetts" xr:uid="{8EC89E47-2B50-46EA-A0C4-DD478236F350}"/>
    <hyperlink ref="Z21" r:id="rId21" tooltip="1928 United States presidential election in Michigan" display="https://en.wikipedia.org/wiki/1928_United_States_presidential_election_in_Michigan" xr:uid="{708E150B-EF49-4D63-9B6D-60ADD91286A2}"/>
    <hyperlink ref="Z22" r:id="rId22" tooltip="1928 United States presidential election in Minnesota" display="https://en.wikipedia.org/wiki/1928_United_States_presidential_election_in_Minnesota" xr:uid="{3A4961F1-1B4B-4493-9310-48BE66AA2AF1}"/>
    <hyperlink ref="Z23" r:id="rId23" tooltip="1928 United States presidential election in Mississippi" display="https://en.wikipedia.org/wiki/1928_United_States_presidential_election_in_Mississippi" xr:uid="{4F85D772-A554-44D1-B36F-9F5106A9DA6D}"/>
    <hyperlink ref="Z24" r:id="rId24" tooltip="1928 United States presidential election in Missouri" display="https://en.wikipedia.org/wiki/1928_United_States_presidential_election_in_Missouri" xr:uid="{9E770C06-7B38-4ACE-9315-0C7621A21832}"/>
    <hyperlink ref="Z25" r:id="rId25" tooltip="1928 United States presidential election in Montana" display="https://en.wikipedia.org/wiki/1928_United_States_presidential_election_in_Montana" xr:uid="{7CBE6AA4-861B-417A-AC22-D76B3B3C1C9D}"/>
    <hyperlink ref="Z26" r:id="rId26" tooltip="1928 United States presidential election in Nebraska" display="https://en.wikipedia.org/wiki/1928_United_States_presidential_election_in_Nebraska" xr:uid="{136834A0-AA17-48FD-9D79-3A4DFE38ED9E}"/>
    <hyperlink ref="Z27" r:id="rId27" tooltip="1928 United States presidential election in Nevada" display="https://en.wikipedia.org/wiki/1928_United_States_presidential_election_in_Nevada" xr:uid="{568DF97E-A34A-48C3-AC30-25470329E645}"/>
    <hyperlink ref="Z28" r:id="rId28" tooltip="1928 United States presidential election in New Hampshire" display="https://en.wikipedia.org/wiki/1928_United_States_presidential_election_in_New_Hampshire" xr:uid="{4C9738FE-0ABF-406E-9CC6-12B725776ACA}"/>
    <hyperlink ref="Z29" r:id="rId29" tooltip="1928 United States presidential election in New Jersey" display="https://en.wikipedia.org/wiki/1928_United_States_presidential_election_in_New_Jersey" xr:uid="{D537DE85-7C0A-4E42-B12B-618A6360A714}"/>
    <hyperlink ref="Z30" r:id="rId30" tooltip="1928 United States presidential election in New Mexico" display="https://en.wikipedia.org/wiki/1928_United_States_presidential_election_in_New_Mexico" xr:uid="{A677E163-8059-4065-9D4A-6F90D7F3B582}"/>
    <hyperlink ref="Z31" r:id="rId31" tooltip="1928 United States presidential election in New York" display="https://en.wikipedia.org/wiki/1928_United_States_presidential_election_in_New_York" xr:uid="{E1E38136-F7E2-40C6-A103-57B9809E0362}"/>
    <hyperlink ref="Z32" r:id="rId32" tooltip="1928 United States presidential election in North Carolina" display="https://en.wikipedia.org/wiki/1928_United_States_presidential_election_in_North_Carolina" xr:uid="{C4B8612F-1D91-44EE-BF59-EE8111983E71}"/>
    <hyperlink ref="Z33" r:id="rId33" tooltip="1928 United States presidential election in North Dakota" display="https://en.wikipedia.org/wiki/1928_United_States_presidential_election_in_North_Dakota" xr:uid="{3BCEDCA3-B0E7-4F28-9F27-972C51DB8A6A}"/>
    <hyperlink ref="Z34" r:id="rId34" tooltip="1928 United States presidential election in Ohio" display="https://en.wikipedia.org/wiki/1928_United_States_presidential_election_in_Ohio" xr:uid="{D7A18302-A8B2-48E5-A703-F636E6E3BBAF}"/>
    <hyperlink ref="Z35" r:id="rId35" tooltip="1928 United States presidential election in Oklahoma" display="https://en.wikipedia.org/wiki/1928_United_States_presidential_election_in_Oklahoma" xr:uid="{03D4989A-872E-40D4-867C-2364817EEF44}"/>
    <hyperlink ref="Z36" r:id="rId36" tooltip="1928 United States presidential election in Oregon" display="https://en.wikipedia.org/wiki/1928_United_States_presidential_election_in_Oregon" xr:uid="{79783732-9347-4F1E-B71C-79BFB13BDC99}"/>
    <hyperlink ref="Z37" r:id="rId37" tooltip="1928 United States presidential election in Pennsylvania" display="https://en.wikipedia.org/wiki/1928_United_States_presidential_election_in_Pennsylvania" xr:uid="{E7BDF5B0-7B84-40AA-A1AB-D923FBB28E6E}"/>
    <hyperlink ref="Z38" r:id="rId38" tooltip="1928 United States presidential election in Rhode Island" display="https://en.wikipedia.org/wiki/1928_United_States_presidential_election_in_Rhode_Island" xr:uid="{7AE4CDD2-180B-4854-B167-1CE3568F1CAD}"/>
    <hyperlink ref="Z39" r:id="rId39" tooltip="1928 United States presidential election in South Carolina" display="https://en.wikipedia.org/wiki/1928_United_States_presidential_election_in_South_Carolina" xr:uid="{1BB693C4-B23F-401D-88CE-E4ABC3294934}"/>
    <hyperlink ref="Z40" r:id="rId40" tooltip="1928 United States presidential election in South Dakota" display="https://en.wikipedia.org/wiki/1928_United_States_presidential_election_in_South_Dakota" xr:uid="{E543A98F-40CD-4450-AF8D-40FE366BC9C6}"/>
    <hyperlink ref="Z41" r:id="rId41" tooltip="1928 United States presidential election in Tennessee" display="https://en.wikipedia.org/wiki/1928_United_States_presidential_election_in_Tennessee" xr:uid="{7264ECAA-F245-4AE6-A044-C22ED513347C}"/>
    <hyperlink ref="Z42" r:id="rId42" tooltip="1928 United States presidential election in Texas" display="https://en.wikipedia.org/wiki/1928_United_States_presidential_election_in_Texas" xr:uid="{7CAD850E-BE94-4E8E-8C52-638D39805A6A}"/>
    <hyperlink ref="Z43" r:id="rId43" tooltip="1928 United States presidential election in Utah" display="https://en.wikipedia.org/wiki/1928_United_States_presidential_election_in_Utah" xr:uid="{168F490D-FB4D-4A6E-87F5-ACCFDA53EB9C}"/>
    <hyperlink ref="Z44" r:id="rId44" tooltip="1928 United States presidential election in Vermont" display="https://en.wikipedia.org/wiki/1928_United_States_presidential_election_in_Vermont" xr:uid="{5DB5EFE6-E703-4677-AAED-4856955F7720}"/>
    <hyperlink ref="Z45" r:id="rId45" tooltip="1928 United States presidential election in Virginia" display="https://en.wikipedia.org/wiki/1928_United_States_presidential_election_in_Virginia" xr:uid="{4A580FBB-AA6B-42BD-A9B4-768A0E292A81}"/>
    <hyperlink ref="Z46" r:id="rId46" tooltip="1928 United States presidential election in Washington (state)" display="https://en.wikipedia.org/wiki/1928_United_States_presidential_election_in_Washington_(state)" xr:uid="{6E556978-3092-4728-BFCA-3FB62196A062}"/>
    <hyperlink ref="Z47" r:id="rId47" tooltip="1928 United States presidential election in West Virginia" display="https://en.wikipedia.org/wiki/1928_United_States_presidential_election_in_West_Virginia" xr:uid="{7E400727-4A2E-479A-840E-7A6B18679A08}"/>
    <hyperlink ref="Z48" r:id="rId48" tooltip="1928 United States presidential election in Wisconsin" display="https://en.wikipedia.org/wiki/1928_United_States_presidential_election_in_Wisconsin" xr:uid="{7B043721-1CED-42C4-A525-9FDB2C9D4D1D}"/>
    <hyperlink ref="Z49" r:id="rId49" tooltip="1928 United States presidential election in Wyoming" display="https://en.wikipedia.org/wiki/1928_United_States_presidential_election_in_Wyoming" xr:uid="{260F5E01-9075-4953-ADD7-1C7D8BF44395}"/>
  </hyperlinks>
  <pageMargins left="0.7" right="0.7" top="0.75" bottom="0.75" header="0.3" footer="0.3"/>
  <pageSetup orientation="portrait" horizontalDpi="1200" verticalDpi="1200" r:id="rId50"/>
  <legacy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906C-1272-420B-AAD4-9A57620B67F3}">
  <dimension ref="A1:AS64"/>
  <sheetViews>
    <sheetView workbookViewId="0"/>
  </sheetViews>
  <sheetFormatPr defaultColWidth="8.85546875" defaultRowHeight="15"/>
  <cols>
    <col min="25" max="25" width="10.85546875" bestFit="1" customWidth="1"/>
    <col min="28" max="28" width="15.42578125" customWidth="1"/>
    <col min="30" max="30" width="10.42578125" bestFit="1" customWidth="1"/>
    <col min="33" max="33" width="10.42578125" bestFit="1" customWidth="1"/>
  </cols>
  <sheetData>
    <row r="1" spans="1:45" ht="15" customHeight="1" thickBot="1">
      <c r="C1" s="4" t="s">
        <v>211</v>
      </c>
      <c r="D1" s="68" t="s">
        <v>212</v>
      </c>
      <c r="E1" s="68"/>
      <c r="F1" s="68"/>
      <c r="G1" s="68"/>
      <c r="J1" s="4" t="s">
        <v>213</v>
      </c>
      <c r="K1" s="68" t="s">
        <v>212</v>
      </c>
      <c r="L1" s="68"/>
      <c r="M1" s="68"/>
      <c r="N1" s="68"/>
      <c r="Q1" s="68" t="s">
        <v>139</v>
      </c>
      <c r="R1" s="68"/>
      <c r="S1" s="68"/>
      <c r="T1" s="68"/>
      <c r="U1" s="68"/>
      <c r="V1" s="68"/>
      <c r="W1" s="68"/>
      <c r="Y1" s="4" t="s">
        <v>214</v>
      </c>
      <c r="Z1" s="4"/>
      <c r="AB1" s="44" t="s">
        <v>215</v>
      </c>
      <c r="AC1" s="44" t="s">
        <v>20</v>
      </c>
      <c r="AD1" s="44" t="s">
        <v>216</v>
      </c>
      <c r="AE1" s="44" t="s">
        <v>22</v>
      </c>
      <c r="AF1" s="44" t="s">
        <v>20</v>
      </c>
      <c r="AG1" s="44" t="s">
        <v>141</v>
      </c>
      <c r="AH1" s="44" t="s">
        <v>22</v>
      </c>
      <c r="AI1" s="44" t="s">
        <v>20</v>
      </c>
      <c r="AJ1" s="44" t="s">
        <v>143</v>
      </c>
      <c r="AK1" s="44" t="s">
        <v>22</v>
      </c>
      <c r="AL1" s="44" t="s">
        <v>20</v>
      </c>
      <c r="AM1" s="44" t="s">
        <v>217</v>
      </c>
      <c r="AN1" s="44" t="s">
        <v>22</v>
      </c>
      <c r="AO1" s="44" t="s">
        <v>20</v>
      </c>
      <c r="AP1" s="44" t="s">
        <v>28</v>
      </c>
      <c r="AQ1" s="44" t="s">
        <v>22</v>
      </c>
      <c r="AR1" s="44" t="s">
        <v>218</v>
      </c>
    </row>
    <row r="2" spans="1:45" ht="15.75" thickBot="1">
      <c r="A2" s="4"/>
      <c r="B2" s="4" t="s">
        <v>219</v>
      </c>
      <c r="C2" s="4" t="s">
        <v>220</v>
      </c>
      <c r="D2" t="s">
        <v>148</v>
      </c>
      <c r="E2" t="s">
        <v>149</v>
      </c>
      <c r="F2" t="s">
        <v>217</v>
      </c>
      <c r="G2" t="s">
        <v>221</v>
      </c>
      <c r="J2" s="4" t="s">
        <v>220</v>
      </c>
      <c r="K2" t="s">
        <v>148</v>
      </c>
      <c r="L2" t="s">
        <v>149</v>
      </c>
      <c r="M2" t="s">
        <v>217</v>
      </c>
      <c r="N2" t="s">
        <v>221</v>
      </c>
      <c r="Q2" t="s">
        <v>222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W2" t="s">
        <v>228</v>
      </c>
      <c r="Y2" t="s">
        <v>157</v>
      </c>
      <c r="Z2" s="4"/>
      <c r="AB2" s="26" t="s">
        <v>31</v>
      </c>
      <c r="AC2" s="27">
        <v>11</v>
      </c>
      <c r="AD2" s="48">
        <v>207910</v>
      </c>
      <c r="AE2" s="29">
        <v>84.74</v>
      </c>
      <c r="AF2" s="29">
        <v>11</v>
      </c>
      <c r="AG2" s="48">
        <v>34675</v>
      </c>
      <c r="AH2" s="29">
        <v>14.13</v>
      </c>
      <c r="AI2" s="29" t="s">
        <v>229</v>
      </c>
      <c r="AJ2" s="28">
        <v>2030</v>
      </c>
      <c r="AK2" s="29">
        <v>0.83</v>
      </c>
      <c r="AL2" s="29" t="s">
        <v>229</v>
      </c>
      <c r="AM2" s="29">
        <v>739</v>
      </c>
      <c r="AN2" s="29">
        <v>0.3</v>
      </c>
      <c r="AO2" s="29" t="s">
        <v>229</v>
      </c>
      <c r="AP2" s="28">
        <v>173235</v>
      </c>
      <c r="AQ2" s="29">
        <v>70.61</v>
      </c>
      <c r="AR2" s="28">
        <v>245354</v>
      </c>
      <c r="AS2" t="s">
        <v>230</v>
      </c>
    </row>
    <row r="3" spans="1:45" ht="15.75" thickBot="1">
      <c r="A3" s="66" t="s">
        <v>158</v>
      </c>
      <c r="B3">
        <v>11</v>
      </c>
      <c r="C3" s="4">
        <v>4272</v>
      </c>
      <c r="D3">
        <v>3150</v>
      </c>
      <c r="E3">
        <v>480</v>
      </c>
      <c r="F3">
        <v>1</v>
      </c>
      <c r="G3">
        <v>641</v>
      </c>
      <c r="J3" s="4">
        <v>20161</v>
      </c>
      <c r="K3">
        <v>3183</v>
      </c>
      <c r="L3">
        <v>13629</v>
      </c>
      <c r="M3">
        <v>4</v>
      </c>
      <c r="N3">
        <v>3345</v>
      </c>
      <c r="Q3">
        <v>402</v>
      </c>
      <c r="R3">
        <v>1</v>
      </c>
      <c r="S3">
        <v>21</v>
      </c>
      <c r="T3">
        <v>213</v>
      </c>
      <c r="U3">
        <v>33</v>
      </c>
      <c r="V3">
        <v>43</v>
      </c>
      <c r="W3">
        <v>713</v>
      </c>
      <c r="Y3" s="1">
        <v>25146</v>
      </c>
      <c r="Z3" s="4"/>
      <c r="AA3" s="59"/>
      <c r="AB3" s="26" t="s">
        <v>34</v>
      </c>
      <c r="AC3" s="27">
        <v>3</v>
      </c>
      <c r="AD3" s="48">
        <v>79264</v>
      </c>
      <c r="AE3" s="29">
        <v>67.03</v>
      </c>
      <c r="AF3" s="29">
        <v>3</v>
      </c>
      <c r="AG3" s="48">
        <v>36104</v>
      </c>
      <c r="AH3" s="29">
        <v>30.53</v>
      </c>
      <c r="AI3" s="29" t="s">
        <v>229</v>
      </c>
      <c r="AJ3" s="28">
        <v>2618</v>
      </c>
      <c r="AK3" s="29">
        <v>2.21</v>
      </c>
      <c r="AL3" s="29" t="s">
        <v>229</v>
      </c>
      <c r="AM3" s="29">
        <v>265</v>
      </c>
      <c r="AN3" s="29">
        <v>0.22</v>
      </c>
      <c r="AO3" s="29" t="s">
        <v>229</v>
      </c>
      <c r="AP3" s="28">
        <v>43160</v>
      </c>
      <c r="AQ3" s="29">
        <v>36.5</v>
      </c>
      <c r="AR3" s="28">
        <v>118251</v>
      </c>
    </row>
    <row r="4" spans="1:45" ht="15.75" thickBot="1">
      <c r="A4" s="66" t="s">
        <v>160</v>
      </c>
      <c r="B4">
        <v>3</v>
      </c>
      <c r="C4" s="4">
        <v>2574</v>
      </c>
      <c r="D4">
        <v>2022</v>
      </c>
      <c r="E4">
        <v>218</v>
      </c>
      <c r="F4">
        <v>1</v>
      </c>
      <c r="G4">
        <v>333</v>
      </c>
      <c r="J4" s="4">
        <v>4910</v>
      </c>
      <c r="K4">
        <v>1597</v>
      </c>
      <c r="L4">
        <v>2581</v>
      </c>
      <c r="M4">
        <v>2</v>
      </c>
      <c r="N4">
        <v>730</v>
      </c>
      <c r="Q4">
        <v>254</v>
      </c>
      <c r="R4">
        <v>1</v>
      </c>
      <c r="S4">
        <v>18</v>
      </c>
      <c r="T4">
        <v>53</v>
      </c>
      <c r="U4">
        <v>21</v>
      </c>
      <c r="V4">
        <v>15</v>
      </c>
      <c r="W4">
        <v>362</v>
      </c>
      <c r="Y4" s="1">
        <v>7846</v>
      </c>
      <c r="Z4" s="4"/>
      <c r="AA4" s="59"/>
      <c r="AB4" s="26" t="s">
        <v>36</v>
      </c>
      <c r="AC4" s="27">
        <v>9</v>
      </c>
      <c r="AD4" s="48">
        <v>189602</v>
      </c>
      <c r="AE4" s="29">
        <v>85.96</v>
      </c>
      <c r="AF4" s="29">
        <v>9</v>
      </c>
      <c r="AG4" s="48">
        <v>28467</v>
      </c>
      <c r="AH4" s="29">
        <v>12.91</v>
      </c>
      <c r="AI4" s="29" t="s">
        <v>229</v>
      </c>
      <c r="AJ4" s="28">
        <v>1269</v>
      </c>
      <c r="AK4" s="29">
        <v>0.57999999999999996</v>
      </c>
      <c r="AL4" s="29" t="s">
        <v>229</v>
      </c>
      <c r="AM4" s="28">
        <v>1224</v>
      </c>
      <c r="AN4" s="29">
        <v>0.55000000000000004</v>
      </c>
      <c r="AO4" s="29" t="s">
        <v>229</v>
      </c>
      <c r="AP4" s="28">
        <v>161135</v>
      </c>
      <c r="AQ4" s="29">
        <v>73.06</v>
      </c>
      <c r="AR4" s="28">
        <v>220562</v>
      </c>
    </row>
    <row r="5" spans="1:45" ht="15.75" thickBot="1">
      <c r="A5" s="66" t="s">
        <v>161</v>
      </c>
      <c r="B5">
        <v>9</v>
      </c>
      <c r="C5" s="4">
        <v>3712</v>
      </c>
      <c r="D5">
        <v>2997</v>
      </c>
      <c r="E5">
        <v>250</v>
      </c>
      <c r="F5">
        <v>1</v>
      </c>
      <c r="G5">
        <v>464</v>
      </c>
      <c r="J5" s="4">
        <v>16225</v>
      </c>
      <c r="K5">
        <v>2414</v>
      </c>
      <c r="L5">
        <v>11564</v>
      </c>
      <c r="M5">
        <v>5</v>
      </c>
      <c r="N5">
        <v>2242</v>
      </c>
      <c r="Q5">
        <v>225</v>
      </c>
      <c r="R5">
        <v>3</v>
      </c>
      <c r="S5">
        <v>7</v>
      </c>
      <c r="T5">
        <v>160</v>
      </c>
      <c r="U5">
        <v>16</v>
      </c>
      <c r="V5">
        <v>47</v>
      </c>
      <c r="W5">
        <v>458</v>
      </c>
      <c r="Y5" s="1">
        <v>20395</v>
      </c>
      <c r="Z5" s="4"/>
      <c r="AA5" s="59"/>
      <c r="AB5" s="26" t="s">
        <v>38</v>
      </c>
      <c r="AC5" s="27">
        <v>22</v>
      </c>
      <c r="AD5" s="48">
        <v>1324157</v>
      </c>
      <c r="AE5" s="29">
        <v>58.39</v>
      </c>
      <c r="AF5" s="29">
        <v>22</v>
      </c>
      <c r="AG5" s="48">
        <v>847902</v>
      </c>
      <c r="AH5" s="29">
        <v>37.39</v>
      </c>
      <c r="AI5" s="29" t="s">
        <v>229</v>
      </c>
      <c r="AJ5" s="28">
        <v>63299</v>
      </c>
      <c r="AK5" s="29">
        <v>2.79</v>
      </c>
      <c r="AL5" s="29" t="s">
        <v>229</v>
      </c>
      <c r="AM5" s="28">
        <v>32608</v>
      </c>
      <c r="AN5" s="29">
        <v>1.44</v>
      </c>
      <c r="AO5" s="29" t="s">
        <v>229</v>
      </c>
      <c r="AP5" s="28">
        <v>476255</v>
      </c>
      <c r="AQ5" s="29">
        <v>21</v>
      </c>
      <c r="AR5" s="28">
        <v>2267966</v>
      </c>
    </row>
    <row r="6" spans="1:45" ht="15.75" thickBot="1">
      <c r="A6" s="66" t="s">
        <v>162</v>
      </c>
      <c r="B6">
        <v>22</v>
      </c>
      <c r="C6" s="4">
        <v>81834</v>
      </c>
      <c r="D6">
        <v>67017</v>
      </c>
      <c r="E6">
        <v>3847</v>
      </c>
      <c r="F6">
        <v>99</v>
      </c>
      <c r="G6">
        <v>10871</v>
      </c>
      <c r="J6" s="4">
        <v>148832</v>
      </c>
      <c r="K6">
        <v>77197</v>
      </c>
      <c r="L6">
        <v>50252</v>
      </c>
      <c r="M6">
        <v>340</v>
      </c>
      <c r="N6">
        <v>21043</v>
      </c>
      <c r="Q6">
        <v>7874</v>
      </c>
      <c r="R6">
        <v>115</v>
      </c>
      <c r="S6">
        <v>213</v>
      </c>
      <c r="T6">
        <v>1099</v>
      </c>
      <c r="U6">
        <v>1444</v>
      </c>
      <c r="V6">
        <v>565</v>
      </c>
      <c r="W6">
        <v>11310</v>
      </c>
      <c r="Y6" s="1">
        <v>241976</v>
      </c>
      <c r="Z6" s="4"/>
      <c r="AA6" s="59"/>
      <c r="AB6" s="26" t="s">
        <v>40</v>
      </c>
      <c r="AC6" s="27">
        <v>6</v>
      </c>
      <c r="AD6" s="48">
        <v>250877</v>
      </c>
      <c r="AE6" s="29">
        <v>54.81</v>
      </c>
      <c r="AF6" s="29">
        <v>6</v>
      </c>
      <c r="AG6" s="48">
        <v>189617</v>
      </c>
      <c r="AH6" s="29">
        <v>41.43</v>
      </c>
      <c r="AI6" s="29" t="s">
        <v>229</v>
      </c>
      <c r="AJ6" s="28">
        <v>13591</v>
      </c>
      <c r="AK6" s="29">
        <v>2.97</v>
      </c>
      <c r="AL6" s="29" t="s">
        <v>229</v>
      </c>
      <c r="AM6" s="28">
        <v>3611</v>
      </c>
      <c r="AN6" s="29">
        <v>0.79</v>
      </c>
      <c r="AO6" s="29" t="s">
        <v>229</v>
      </c>
      <c r="AP6" s="28">
        <v>61260</v>
      </c>
      <c r="AQ6" s="29">
        <v>13.38</v>
      </c>
      <c r="AR6" s="28">
        <v>457696</v>
      </c>
    </row>
    <row r="7" spans="1:45" ht="15.75" thickBot="1">
      <c r="A7" s="66" t="s">
        <v>231</v>
      </c>
      <c r="B7">
        <v>6</v>
      </c>
      <c r="C7" s="4">
        <v>11950</v>
      </c>
      <c r="D7">
        <v>9870</v>
      </c>
      <c r="E7">
        <v>603</v>
      </c>
      <c r="F7">
        <v>4</v>
      </c>
      <c r="G7">
        <v>1473</v>
      </c>
      <c r="J7" s="4">
        <v>14304</v>
      </c>
      <c r="K7">
        <v>5730</v>
      </c>
      <c r="L7">
        <v>6408</v>
      </c>
      <c r="M7">
        <v>32</v>
      </c>
      <c r="N7">
        <v>2134</v>
      </c>
      <c r="Q7">
        <v>1546</v>
      </c>
      <c r="R7">
        <v>12</v>
      </c>
      <c r="S7">
        <v>40</v>
      </c>
      <c r="T7">
        <v>155</v>
      </c>
      <c r="U7">
        <v>123</v>
      </c>
      <c r="V7">
        <v>102</v>
      </c>
      <c r="W7">
        <v>1978</v>
      </c>
      <c r="Y7">
        <v>28232</v>
      </c>
      <c r="Z7" s="4"/>
      <c r="AA7" s="59"/>
      <c r="AB7" s="30" t="s">
        <v>42</v>
      </c>
      <c r="AC7" s="31">
        <v>8</v>
      </c>
      <c r="AD7" s="49">
        <v>281632</v>
      </c>
      <c r="AE7" s="33">
        <v>47.4</v>
      </c>
      <c r="AF7" s="33" t="s">
        <v>229</v>
      </c>
      <c r="AG7" s="49">
        <v>288420</v>
      </c>
      <c r="AH7" s="33">
        <v>48.54</v>
      </c>
      <c r="AI7" s="33">
        <v>8</v>
      </c>
      <c r="AJ7" s="32">
        <v>20480</v>
      </c>
      <c r="AK7" s="33">
        <v>3.45</v>
      </c>
      <c r="AL7" s="33" t="s">
        <v>229</v>
      </c>
      <c r="AM7" s="32">
        <v>3651</v>
      </c>
      <c r="AN7" s="33">
        <v>0.61</v>
      </c>
      <c r="AO7" s="33" t="s">
        <v>229</v>
      </c>
      <c r="AP7" s="33" t="s">
        <v>232</v>
      </c>
      <c r="AQ7" s="33" t="s">
        <v>233</v>
      </c>
      <c r="AR7" s="32">
        <v>594183</v>
      </c>
    </row>
    <row r="8" spans="1:45" ht="15.75" thickBot="1">
      <c r="A8" s="66" t="s">
        <v>164</v>
      </c>
      <c r="B8">
        <v>8</v>
      </c>
      <c r="C8" s="4">
        <v>26469</v>
      </c>
      <c r="D8">
        <v>21590</v>
      </c>
      <c r="E8">
        <v>1539</v>
      </c>
      <c r="F8">
        <v>9</v>
      </c>
      <c r="G8">
        <v>3331</v>
      </c>
      <c r="J8" s="4">
        <v>16884</v>
      </c>
      <c r="K8">
        <v>5521</v>
      </c>
      <c r="L8">
        <v>8966</v>
      </c>
      <c r="M8">
        <v>27</v>
      </c>
      <c r="N8">
        <v>2370</v>
      </c>
      <c r="Q8">
        <v>4256</v>
      </c>
      <c r="R8">
        <v>61</v>
      </c>
      <c r="S8">
        <v>44</v>
      </c>
      <c r="T8">
        <v>82</v>
      </c>
      <c r="U8">
        <v>199</v>
      </c>
      <c r="V8">
        <v>225</v>
      </c>
      <c r="W8">
        <v>4867</v>
      </c>
      <c r="Y8">
        <v>48220</v>
      </c>
      <c r="Z8" s="4"/>
      <c r="AA8" s="59"/>
      <c r="AB8" s="30" t="s">
        <v>44</v>
      </c>
      <c r="AC8" s="31">
        <v>3</v>
      </c>
      <c r="AD8" s="49">
        <v>54319</v>
      </c>
      <c r="AE8" s="33">
        <v>48.11</v>
      </c>
      <c r="AF8" s="33" t="s">
        <v>229</v>
      </c>
      <c r="AG8" s="49">
        <v>57073</v>
      </c>
      <c r="AH8" s="33">
        <v>50.55</v>
      </c>
      <c r="AI8" s="33">
        <v>3</v>
      </c>
      <c r="AJ8" s="32">
        <v>1376</v>
      </c>
      <c r="AK8" s="33">
        <v>1.22</v>
      </c>
      <c r="AL8" s="33" t="s">
        <v>229</v>
      </c>
      <c r="AM8" s="33">
        <v>133</v>
      </c>
      <c r="AN8" s="33">
        <v>0.12</v>
      </c>
      <c r="AO8" s="33" t="s">
        <v>229</v>
      </c>
      <c r="AP8" s="33" t="s">
        <v>234</v>
      </c>
      <c r="AQ8" s="33" t="s">
        <v>235</v>
      </c>
      <c r="AR8" s="32">
        <v>112901</v>
      </c>
    </row>
    <row r="9" spans="1:45" ht="15.75" thickBot="1">
      <c r="A9" s="66" t="s">
        <v>165</v>
      </c>
      <c r="B9">
        <v>3</v>
      </c>
      <c r="C9" s="4">
        <v>2384</v>
      </c>
      <c r="D9">
        <v>1809</v>
      </c>
      <c r="E9">
        <v>229</v>
      </c>
      <c r="F9">
        <v>0</v>
      </c>
      <c r="G9">
        <v>346</v>
      </c>
      <c r="J9" s="4">
        <v>2546</v>
      </c>
      <c r="K9">
        <v>800</v>
      </c>
      <c r="L9">
        <v>1308</v>
      </c>
      <c r="M9">
        <v>7</v>
      </c>
      <c r="N9">
        <v>431</v>
      </c>
      <c r="Q9">
        <v>205</v>
      </c>
      <c r="R9">
        <v>1</v>
      </c>
      <c r="S9">
        <v>3</v>
      </c>
      <c r="T9">
        <v>30</v>
      </c>
      <c r="U9">
        <v>17</v>
      </c>
      <c r="V9">
        <v>23</v>
      </c>
      <c r="W9">
        <v>279</v>
      </c>
      <c r="Y9">
        <v>5209</v>
      </c>
      <c r="Z9" s="4"/>
      <c r="AA9" s="59"/>
      <c r="AB9" s="26" t="s">
        <v>47</v>
      </c>
      <c r="AC9" s="27">
        <v>7</v>
      </c>
      <c r="AD9" s="48">
        <v>206307</v>
      </c>
      <c r="AE9" s="29">
        <v>74.680000000000007</v>
      </c>
      <c r="AF9" s="29">
        <v>7</v>
      </c>
      <c r="AG9" s="48">
        <v>69170</v>
      </c>
      <c r="AH9" s="29">
        <v>25.04</v>
      </c>
      <c r="AI9" s="29" t="s">
        <v>229</v>
      </c>
      <c r="AJ9" s="29">
        <v>775</v>
      </c>
      <c r="AK9" s="29">
        <v>0.28000000000000003</v>
      </c>
      <c r="AL9" s="29" t="s">
        <v>229</v>
      </c>
      <c r="AM9" s="29">
        <v>0</v>
      </c>
      <c r="AN9" s="29">
        <v>0</v>
      </c>
      <c r="AO9" s="29" t="s">
        <v>229</v>
      </c>
      <c r="AP9" s="28">
        <v>137137</v>
      </c>
      <c r="AQ9" s="29">
        <v>49.64</v>
      </c>
      <c r="AR9" s="28">
        <v>276252</v>
      </c>
    </row>
    <row r="10" spans="1:45" ht="15.75" thickBot="1">
      <c r="A10" s="66" t="s">
        <v>236</v>
      </c>
      <c r="B10">
        <v>0</v>
      </c>
      <c r="C10" s="4">
        <v>3937</v>
      </c>
      <c r="D10">
        <v>2310</v>
      </c>
      <c r="E10">
        <v>185</v>
      </c>
      <c r="F10">
        <v>2</v>
      </c>
      <c r="G10">
        <v>1440</v>
      </c>
      <c r="J10" s="4">
        <v>5061</v>
      </c>
      <c r="K10">
        <v>1299</v>
      </c>
      <c r="L10">
        <v>1952</v>
      </c>
      <c r="M10">
        <v>5</v>
      </c>
      <c r="N10">
        <v>1805</v>
      </c>
      <c r="Q10">
        <v>514</v>
      </c>
      <c r="R10">
        <v>4</v>
      </c>
      <c r="S10">
        <v>5</v>
      </c>
      <c r="T10">
        <v>41</v>
      </c>
      <c r="U10">
        <v>83</v>
      </c>
      <c r="V10">
        <v>50</v>
      </c>
      <c r="W10">
        <v>697</v>
      </c>
      <c r="Y10" s="1">
        <v>9695</v>
      </c>
      <c r="Z10" s="4"/>
      <c r="AA10" s="59"/>
      <c r="AB10" s="26" t="s">
        <v>49</v>
      </c>
      <c r="AC10" s="27">
        <v>12</v>
      </c>
      <c r="AD10" s="48">
        <v>234118</v>
      </c>
      <c r="AE10" s="29">
        <v>91.6</v>
      </c>
      <c r="AF10" s="29">
        <v>12</v>
      </c>
      <c r="AG10" s="48">
        <v>19863</v>
      </c>
      <c r="AH10" s="29">
        <v>7.77</v>
      </c>
      <c r="AI10" s="29" t="s">
        <v>229</v>
      </c>
      <c r="AJ10" s="29">
        <v>461</v>
      </c>
      <c r="AK10" s="29">
        <v>0.18</v>
      </c>
      <c r="AL10" s="29" t="s">
        <v>229</v>
      </c>
      <c r="AM10" s="28">
        <v>1148</v>
      </c>
      <c r="AN10" s="29">
        <v>0.45</v>
      </c>
      <c r="AO10" s="29" t="s">
        <v>229</v>
      </c>
      <c r="AP10" s="28">
        <v>214255</v>
      </c>
      <c r="AQ10" s="29">
        <v>83.83</v>
      </c>
      <c r="AR10" s="28">
        <v>255590</v>
      </c>
    </row>
    <row r="11" spans="1:45" ht="15.75" thickBot="1">
      <c r="A11" s="66" t="s">
        <v>237</v>
      </c>
      <c r="B11">
        <v>7</v>
      </c>
      <c r="C11" s="4">
        <v>9302</v>
      </c>
      <c r="D11">
        <v>6944</v>
      </c>
      <c r="E11">
        <v>880</v>
      </c>
      <c r="F11">
        <v>3</v>
      </c>
      <c r="G11">
        <v>1475</v>
      </c>
      <c r="J11" s="4">
        <v>23606</v>
      </c>
      <c r="K11">
        <v>6393</v>
      </c>
      <c r="L11">
        <v>13411</v>
      </c>
      <c r="M11">
        <v>5</v>
      </c>
      <c r="N11">
        <v>3797</v>
      </c>
      <c r="Q11">
        <v>857</v>
      </c>
      <c r="R11">
        <v>8</v>
      </c>
      <c r="S11">
        <v>32</v>
      </c>
      <c r="T11">
        <v>408</v>
      </c>
      <c r="U11">
        <v>86</v>
      </c>
      <c r="V11">
        <v>100</v>
      </c>
      <c r="W11">
        <v>1491</v>
      </c>
      <c r="Y11" s="1">
        <v>34399</v>
      </c>
      <c r="Z11" s="4"/>
      <c r="AA11" s="59"/>
      <c r="AB11" s="26" t="s">
        <v>51</v>
      </c>
      <c r="AC11" s="27">
        <v>4</v>
      </c>
      <c r="AD11" s="48">
        <v>109479</v>
      </c>
      <c r="AE11" s="29">
        <v>58.66</v>
      </c>
      <c r="AF11" s="29">
        <v>4</v>
      </c>
      <c r="AG11" s="48">
        <v>71417</v>
      </c>
      <c r="AH11" s="29">
        <v>38.270000000000003</v>
      </c>
      <c r="AI11" s="29" t="s">
        <v>229</v>
      </c>
      <c r="AJ11" s="29">
        <v>526</v>
      </c>
      <c r="AK11" s="29">
        <v>0.28000000000000003</v>
      </c>
      <c r="AL11" s="29" t="s">
        <v>229</v>
      </c>
      <c r="AM11" s="28">
        <v>5203</v>
      </c>
      <c r="AN11" s="29">
        <v>2.79</v>
      </c>
      <c r="AO11" s="29" t="s">
        <v>229</v>
      </c>
      <c r="AP11" s="28">
        <v>38062</v>
      </c>
      <c r="AQ11" s="29">
        <v>20.39</v>
      </c>
      <c r="AR11" s="28">
        <v>186625</v>
      </c>
    </row>
    <row r="12" spans="1:45" ht="15.75" thickBot="1">
      <c r="A12" s="66" t="s">
        <v>168</v>
      </c>
      <c r="B12">
        <v>12</v>
      </c>
      <c r="C12" s="4">
        <v>4823</v>
      </c>
      <c r="D12">
        <v>3465</v>
      </c>
      <c r="E12">
        <v>499</v>
      </c>
      <c r="F12">
        <v>2</v>
      </c>
      <c r="G12">
        <v>857</v>
      </c>
      <c r="J12" s="4">
        <v>31849</v>
      </c>
      <c r="K12">
        <v>5778</v>
      </c>
      <c r="L12">
        <v>20512</v>
      </c>
      <c r="M12">
        <v>6</v>
      </c>
      <c r="N12">
        <v>5553</v>
      </c>
      <c r="Q12">
        <v>329</v>
      </c>
      <c r="R12">
        <v>12</v>
      </c>
      <c r="S12">
        <v>14</v>
      </c>
      <c r="T12">
        <v>407</v>
      </c>
      <c r="U12">
        <v>39</v>
      </c>
      <c r="V12">
        <v>71</v>
      </c>
      <c r="W12">
        <v>872</v>
      </c>
      <c r="Y12" s="1">
        <v>37544</v>
      </c>
      <c r="Z12" s="4"/>
      <c r="AA12" s="59"/>
      <c r="AB12" s="26" t="s">
        <v>53</v>
      </c>
      <c r="AC12" s="27">
        <v>29</v>
      </c>
      <c r="AD12" s="48">
        <v>1882304</v>
      </c>
      <c r="AE12" s="29">
        <v>55.23</v>
      </c>
      <c r="AF12" s="29">
        <v>29</v>
      </c>
      <c r="AG12" s="48">
        <v>1432756</v>
      </c>
      <c r="AH12" s="29">
        <v>42.04</v>
      </c>
      <c r="AI12" s="29" t="s">
        <v>229</v>
      </c>
      <c r="AJ12" s="28">
        <v>67258</v>
      </c>
      <c r="AK12" s="29">
        <v>1.97</v>
      </c>
      <c r="AL12" s="29" t="s">
        <v>229</v>
      </c>
      <c r="AM12" s="28">
        <v>25608</v>
      </c>
      <c r="AN12" s="29">
        <v>0.75</v>
      </c>
      <c r="AO12" s="29" t="s">
        <v>229</v>
      </c>
      <c r="AP12" s="28">
        <v>449548</v>
      </c>
      <c r="AQ12" s="29">
        <v>13.19</v>
      </c>
      <c r="AR12" s="28">
        <v>3407926</v>
      </c>
    </row>
    <row r="13" spans="1:45" ht="15.75" thickBot="1">
      <c r="A13" s="66" t="s">
        <v>169</v>
      </c>
      <c r="B13">
        <v>4</v>
      </c>
      <c r="C13" s="4">
        <v>3282</v>
      </c>
      <c r="D13">
        <v>2649</v>
      </c>
      <c r="E13">
        <v>211</v>
      </c>
      <c r="F13">
        <v>3</v>
      </c>
      <c r="G13">
        <v>419</v>
      </c>
      <c r="J13" s="4">
        <v>5159</v>
      </c>
      <c r="K13">
        <v>2177</v>
      </c>
      <c r="L13">
        <v>2212</v>
      </c>
      <c r="M13">
        <v>9</v>
      </c>
      <c r="N13">
        <v>761</v>
      </c>
      <c r="Q13">
        <v>307</v>
      </c>
      <c r="R13">
        <v>8</v>
      </c>
      <c r="S13">
        <v>24</v>
      </c>
      <c r="T13">
        <v>80</v>
      </c>
      <c r="U13">
        <v>29</v>
      </c>
      <c r="V13">
        <v>193</v>
      </c>
      <c r="W13">
        <v>641</v>
      </c>
      <c r="Y13" s="1">
        <v>9082</v>
      </c>
      <c r="Z13" s="4"/>
      <c r="AA13" s="59"/>
      <c r="AB13" s="26" t="s">
        <v>55</v>
      </c>
      <c r="AC13" s="27">
        <v>14</v>
      </c>
      <c r="AD13" s="48">
        <v>862054</v>
      </c>
      <c r="AE13" s="29">
        <v>54.67</v>
      </c>
      <c r="AF13" s="29">
        <v>14</v>
      </c>
      <c r="AG13" s="48">
        <v>677184</v>
      </c>
      <c r="AH13" s="29">
        <v>42.94</v>
      </c>
      <c r="AI13" s="29" t="s">
        <v>229</v>
      </c>
      <c r="AJ13" s="28">
        <v>21388</v>
      </c>
      <c r="AK13" s="29">
        <v>1.36</v>
      </c>
      <c r="AL13" s="29" t="s">
        <v>229</v>
      </c>
      <c r="AM13" s="28">
        <v>16301</v>
      </c>
      <c r="AN13" s="29">
        <v>1.03</v>
      </c>
      <c r="AO13" s="29" t="s">
        <v>229</v>
      </c>
      <c r="AP13" s="28">
        <v>184870</v>
      </c>
      <c r="AQ13" s="29">
        <v>11.72</v>
      </c>
      <c r="AR13" s="28">
        <v>1576927</v>
      </c>
    </row>
    <row r="14" spans="1:45" ht="15.75" thickBot="1">
      <c r="A14" s="66" t="s">
        <v>170</v>
      </c>
      <c r="B14">
        <v>29</v>
      </c>
      <c r="C14" s="4">
        <v>76414</v>
      </c>
      <c r="D14">
        <v>63202</v>
      </c>
      <c r="E14">
        <v>4661</v>
      </c>
      <c r="F14">
        <v>27</v>
      </c>
      <c r="G14">
        <v>8524</v>
      </c>
      <c r="J14" s="4">
        <v>105920</v>
      </c>
      <c r="K14">
        <v>46326</v>
      </c>
      <c r="L14">
        <v>46261</v>
      </c>
      <c r="M14">
        <v>128</v>
      </c>
      <c r="N14">
        <v>13205</v>
      </c>
      <c r="Q14">
        <v>7665</v>
      </c>
      <c r="R14">
        <v>146</v>
      </c>
      <c r="S14">
        <v>311</v>
      </c>
      <c r="T14">
        <v>769</v>
      </c>
      <c r="U14">
        <v>2305</v>
      </c>
      <c r="V14">
        <v>1129</v>
      </c>
      <c r="W14">
        <v>12325</v>
      </c>
      <c r="Y14">
        <v>194659</v>
      </c>
      <c r="Z14" s="4"/>
      <c r="AA14" s="59"/>
      <c r="AB14" s="26" t="s">
        <v>57</v>
      </c>
      <c r="AC14" s="27">
        <v>11</v>
      </c>
      <c r="AD14" s="48">
        <v>598019</v>
      </c>
      <c r="AE14" s="29">
        <v>57.69</v>
      </c>
      <c r="AF14" s="29">
        <v>11</v>
      </c>
      <c r="AG14" s="48">
        <v>414433</v>
      </c>
      <c r="AH14" s="29">
        <v>39.979999999999997</v>
      </c>
      <c r="AI14" s="29" t="s">
        <v>229</v>
      </c>
      <c r="AJ14" s="28">
        <v>20467</v>
      </c>
      <c r="AK14" s="29">
        <v>1.97</v>
      </c>
      <c r="AL14" s="29" t="s">
        <v>229</v>
      </c>
      <c r="AM14" s="28">
        <v>3768</v>
      </c>
      <c r="AN14" s="29">
        <v>0.36</v>
      </c>
      <c r="AO14" s="29" t="s">
        <v>229</v>
      </c>
      <c r="AP14" s="28">
        <v>183586</v>
      </c>
      <c r="AQ14" s="29">
        <v>17.71</v>
      </c>
      <c r="AR14" s="28">
        <v>1036687</v>
      </c>
    </row>
    <row r="15" spans="1:45" ht="15.75" thickBot="1">
      <c r="A15" s="66" t="s">
        <v>171</v>
      </c>
      <c r="B15">
        <v>14</v>
      </c>
      <c r="C15" s="4">
        <v>40227</v>
      </c>
      <c r="D15">
        <v>32507</v>
      </c>
      <c r="E15">
        <v>2843</v>
      </c>
      <c r="F15">
        <v>21</v>
      </c>
      <c r="G15">
        <v>4856</v>
      </c>
      <c r="J15" s="4">
        <v>53465</v>
      </c>
      <c r="K15">
        <v>18801</v>
      </c>
      <c r="L15">
        <v>27349</v>
      </c>
      <c r="M15">
        <v>68</v>
      </c>
      <c r="N15">
        <v>7247</v>
      </c>
      <c r="Q15">
        <v>3546</v>
      </c>
      <c r="R15">
        <v>68</v>
      </c>
      <c r="S15">
        <v>129</v>
      </c>
      <c r="T15">
        <v>639</v>
      </c>
      <c r="U15">
        <v>247</v>
      </c>
      <c r="V15">
        <v>224</v>
      </c>
      <c r="W15">
        <v>4853</v>
      </c>
      <c r="Y15" s="1">
        <v>98545</v>
      </c>
      <c r="Z15" s="4"/>
      <c r="AA15" s="59"/>
      <c r="AB15" s="26" t="s">
        <v>59</v>
      </c>
      <c r="AC15" s="27">
        <v>9</v>
      </c>
      <c r="AD15" s="48">
        <v>424204</v>
      </c>
      <c r="AE15" s="29">
        <v>53.56</v>
      </c>
      <c r="AF15" s="29">
        <v>9</v>
      </c>
      <c r="AG15" s="48">
        <v>349498</v>
      </c>
      <c r="AH15" s="29">
        <v>44.13</v>
      </c>
      <c r="AI15" s="29" t="s">
        <v>229</v>
      </c>
      <c r="AJ15" s="28">
        <v>18276</v>
      </c>
      <c r="AK15" s="29">
        <v>2.31</v>
      </c>
      <c r="AL15" s="29" t="s">
        <v>229</v>
      </c>
      <c r="AM15" s="29">
        <v>0</v>
      </c>
      <c r="AN15" s="29">
        <v>0</v>
      </c>
      <c r="AO15" s="29" t="s">
        <v>229</v>
      </c>
      <c r="AP15" s="28">
        <v>74706</v>
      </c>
      <c r="AQ15" s="29">
        <v>9.43</v>
      </c>
      <c r="AR15" s="28">
        <v>791978</v>
      </c>
    </row>
    <row r="16" spans="1:45" ht="15.75" thickBot="1">
      <c r="A16" s="66" t="s">
        <v>172</v>
      </c>
      <c r="B16">
        <v>11</v>
      </c>
      <c r="C16" s="4">
        <v>23372</v>
      </c>
      <c r="D16">
        <v>19631</v>
      </c>
      <c r="E16">
        <v>1177</v>
      </c>
      <c r="F16">
        <v>10</v>
      </c>
      <c r="G16">
        <v>2554</v>
      </c>
      <c r="J16" s="4">
        <v>32956</v>
      </c>
      <c r="K16">
        <v>15633</v>
      </c>
      <c r="L16">
        <v>13396</v>
      </c>
      <c r="M16">
        <v>47</v>
      </c>
      <c r="N16">
        <v>3880</v>
      </c>
      <c r="Q16">
        <v>1712</v>
      </c>
      <c r="R16">
        <v>27</v>
      </c>
      <c r="S16">
        <v>162</v>
      </c>
      <c r="T16">
        <v>279</v>
      </c>
      <c r="U16">
        <v>111</v>
      </c>
      <c r="V16">
        <v>184</v>
      </c>
      <c r="W16">
        <v>2475</v>
      </c>
      <c r="Y16">
        <v>58803</v>
      </c>
      <c r="Z16" s="4"/>
      <c r="AA16" s="59"/>
      <c r="AB16" s="26" t="s">
        <v>61</v>
      </c>
      <c r="AC16" s="27">
        <v>11</v>
      </c>
      <c r="AD16" s="48">
        <v>580574</v>
      </c>
      <c r="AE16" s="29">
        <v>59.06</v>
      </c>
      <c r="AF16" s="29">
        <v>11</v>
      </c>
      <c r="AG16" s="48">
        <v>394716</v>
      </c>
      <c r="AH16" s="29">
        <v>40.15</v>
      </c>
      <c r="AI16" s="29" t="s">
        <v>229</v>
      </c>
      <c r="AJ16" s="28">
        <v>3853</v>
      </c>
      <c r="AK16" s="29">
        <v>0.39</v>
      </c>
      <c r="AL16" s="29" t="s">
        <v>229</v>
      </c>
      <c r="AM16" s="28">
        <v>3920</v>
      </c>
      <c r="AN16" s="29">
        <v>0.4</v>
      </c>
      <c r="AO16" s="29" t="s">
        <v>229</v>
      </c>
      <c r="AP16" s="28">
        <v>185858</v>
      </c>
      <c r="AQ16" s="29">
        <v>18.91</v>
      </c>
      <c r="AR16" s="28">
        <v>983063</v>
      </c>
    </row>
    <row r="17" spans="1:44" ht="15.75" thickBot="1">
      <c r="A17" s="66" t="s">
        <v>173</v>
      </c>
      <c r="B17">
        <v>9</v>
      </c>
      <c r="C17" s="4">
        <v>23529</v>
      </c>
      <c r="D17">
        <v>19357</v>
      </c>
      <c r="E17">
        <v>1109</v>
      </c>
      <c r="F17">
        <v>5</v>
      </c>
      <c r="G17">
        <v>3058</v>
      </c>
      <c r="J17" s="4">
        <v>29067</v>
      </c>
      <c r="K17">
        <v>12563</v>
      </c>
      <c r="L17">
        <v>12021</v>
      </c>
      <c r="M17">
        <v>53</v>
      </c>
      <c r="N17">
        <v>4430</v>
      </c>
      <c r="Q17">
        <v>1602</v>
      </c>
      <c r="R17">
        <v>30</v>
      </c>
      <c r="S17">
        <v>148</v>
      </c>
      <c r="T17">
        <v>577</v>
      </c>
      <c r="U17">
        <v>113</v>
      </c>
      <c r="V17">
        <v>224</v>
      </c>
      <c r="W17">
        <v>2694</v>
      </c>
      <c r="Y17">
        <v>55290</v>
      </c>
      <c r="Z17" s="4"/>
      <c r="AA17" s="59"/>
      <c r="AB17" s="26" t="s">
        <v>63</v>
      </c>
      <c r="AC17" s="27">
        <v>10</v>
      </c>
      <c r="AD17" s="48">
        <v>249418</v>
      </c>
      <c r="AE17" s="29">
        <v>92.79</v>
      </c>
      <c r="AF17" s="29">
        <v>10</v>
      </c>
      <c r="AG17" s="48">
        <v>18853</v>
      </c>
      <c r="AH17" s="29">
        <v>7.01</v>
      </c>
      <c r="AI17" s="29" t="s">
        <v>229</v>
      </c>
      <c r="AJ17" s="29">
        <v>0</v>
      </c>
      <c r="AK17" s="29">
        <v>0</v>
      </c>
      <c r="AL17" s="29" t="s">
        <v>229</v>
      </c>
      <c r="AM17" s="29">
        <v>533</v>
      </c>
      <c r="AN17" s="29">
        <v>0.2</v>
      </c>
      <c r="AO17" s="29" t="s">
        <v>229</v>
      </c>
      <c r="AP17" s="28">
        <v>230565</v>
      </c>
      <c r="AQ17" s="29">
        <v>85.77</v>
      </c>
      <c r="AR17" s="28">
        <v>268804</v>
      </c>
    </row>
    <row r="18" spans="1:44" ht="15.75" thickBot="1">
      <c r="A18" s="66" t="s">
        <v>174</v>
      </c>
      <c r="B18">
        <v>11</v>
      </c>
      <c r="C18" s="4">
        <v>13114</v>
      </c>
      <c r="D18">
        <v>10298</v>
      </c>
      <c r="E18">
        <v>1021</v>
      </c>
      <c r="F18">
        <v>7</v>
      </c>
      <c r="G18">
        <v>1788</v>
      </c>
      <c r="J18" s="4">
        <v>24826</v>
      </c>
      <c r="K18">
        <v>6038</v>
      </c>
      <c r="L18">
        <v>15282</v>
      </c>
      <c r="M18">
        <v>8</v>
      </c>
      <c r="N18">
        <v>3498</v>
      </c>
      <c r="Q18">
        <v>771</v>
      </c>
      <c r="R18">
        <v>12</v>
      </c>
      <c r="S18">
        <v>31</v>
      </c>
      <c r="T18">
        <v>293</v>
      </c>
      <c r="U18">
        <v>22</v>
      </c>
      <c r="V18">
        <v>91</v>
      </c>
      <c r="W18">
        <v>1220</v>
      </c>
      <c r="Y18">
        <v>39160</v>
      </c>
      <c r="Z18" s="4"/>
      <c r="AA18" s="59"/>
      <c r="AB18" s="30" t="s">
        <v>65</v>
      </c>
      <c r="AC18" s="31">
        <v>5</v>
      </c>
      <c r="AD18" s="49">
        <v>128907</v>
      </c>
      <c r="AE18" s="33">
        <v>43.19</v>
      </c>
      <c r="AF18" s="33" t="s">
        <v>229</v>
      </c>
      <c r="AG18" s="49">
        <v>166631</v>
      </c>
      <c r="AH18" s="33">
        <v>55.83</v>
      </c>
      <c r="AI18" s="33">
        <v>5</v>
      </c>
      <c r="AJ18" s="32">
        <v>2489</v>
      </c>
      <c r="AK18" s="33">
        <v>0.83</v>
      </c>
      <c r="AL18" s="33" t="s">
        <v>229</v>
      </c>
      <c r="AM18" s="33">
        <v>417</v>
      </c>
      <c r="AN18" s="33">
        <v>0.14000000000000001</v>
      </c>
      <c r="AO18" s="33" t="s">
        <v>229</v>
      </c>
      <c r="AP18" s="33" t="s">
        <v>238</v>
      </c>
      <c r="AQ18" s="33" t="s">
        <v>239</v>
      </c>
      <c r="AR18" s="32">
        <v>298444</v>
      </c>
    </row>
    <row r="19" spans="1:44" ht="15.75" thickBot="1">
      <c r="A19" s="66" t="s">
        <v>175</v>
      </c>
      <c r="B19">
        <v>10</v>
      </c>
      <c r="C19" s="4">
        <v>4004</v>
      </c>
      <c r="D19">
        <v>2489</v>
      </c>
      <c r="E19">
        <v>831</v>
      </c>
      <c r="F19">
        <v>1</v>
      </c>
      <c r="G19">
        <v>683</v>
      </c>
      <c r="J19" s="4">
        <v>19050</v>
      </c>
      <c r="K19">
        <v>3011</v>
      </c>
      <c r="L19">
        <v>13093</v>
      </c>
      <c r="M19">
        <v>1</v>
      </c>
      <c r="N19">
        <v>2945</v>
      </c>
      <c r="Q19">
        <v>401</v>
      </c>
      <c r="R19">
        <v>8</v>
      </c>
      <c r="S19">
        <v>26</v>
      </c>
      <c r="T19">
        <v>135</v>
      </c>
      <c r="U19">
        <v>35</v>
      </c>
      <c r="V19">
        <v>155</v>
      </c>
      <c r="W19">
        <v>760</v>
      </c>
      <c r="Y19">
        <v>23814</v>
      </c>
      <c r="Z19" s="4"/>
      <c r="AA19" s="59"/>
      <c r="AB19" s="26" t="s">
        <v>68</v>
      </c>
      <c r="AC19" s="27">
        <v>8</v>
      </c>
      <c r="AD19" s="48">
        <v>314314</v>
      </c>
      <c r="AE19" s="29">
        <v>61.5</v>
      </c>
      <c r="AF19" s="29">
        <v>8</v>
      </c>
      <c r="AG19" s="48">
        <v>184184</v>
      </c>
      <c r="AH19" s="29">
        <v>36.04</v>
      </c>
      <c r="AI19" s="29" t="s">
        <v>229</v>
      </c>
      <c r="AJ19" s="28">
        <v>10489</v>
      </c>
      <c r="AK19" s="29">
        <v>2.0499999999999998</v>
      </c>
      <c r="AL19" s="29" t="s">
        <v>229</v>
      </c>
      <c r="AM19" s="28">
        <v>2067</v>
      </c>
      <c r="AN19" s="29">
        <v>0.4</v>
      </c>
      <c r="AO19" s="29" t="s">
        <v>229</v>
      </c>
      <c r="AP19" s="28">
        <v>130130</v>
      </c>
      <c r="AQ19" s="29">
        <v>25.46</v>
      </c>
      <c r="AR19" s="28">
        <v>511054</v>
      </c>
    </row>
    <row r="20" spans="1:44" ht="15.75" thickBot="1">
      <c r="A20" s="66" t="s">
        <v>176</v>
      </c>
      <c r="B20">
        <v>5</v>
      </c>
      <c r="C20" s="4">
        <v>11462</v>
      </c>
      <c r="D20">
        <v>9317</v>
      </c>
      <c r="E20">
        <v>383</v>
      </c>
      <c r="F20">
        <v>2</v>
      </c>
      <c r="G20">
        <v>1760</v>
      </c>
      <c r="J20" s="4">
        <v>8264</v>
      </c>
      <c r="K20">
        <v>3283</v>
      </c>
      <c r="L20">
        <v>3568</v>
      </c>
      <c r="M20">
        <v>10</v>
      </c>
      <c r="N20">
        <v>1403</v>
      </c>
      <c r="Q20">
        <v>557</v>
      </c>
      <c r="R20">
        <v>8</v>
      </c>
      <c r="S20">
        <v>14</v>
      </c>
      <c r="T20">
        <v>69</v>
      </c>
      <c r="U20">
        <v>23</v>
      </c>
      <c r="V20">
        <v>45</v>
      </c>
      <c r="W20">
        <v>716</v>
      </c>
      <c r="Y20">
        <v>20442</v>
      </c>
      <c r="Z20" s="4"/>
      <c r="AA20" s="59"/>
      <c r="AB20" s="26" t="s">
        <v>70</v>
      </c>
      <c r="AC20" s="27">
        <v>17</v>
      </c>
      <c r="AD20" s="48">
        <v>800148</v>
      </c>
      <c r="AE20" s="29">
        <v>50.64</v>
      </c>
      <c r="AF20" s="29">
        <v>17</v>
      </c>
      <c r="AG20" s="48">
        <v>736959</v>
      </c>
      <c r="AH20" s="29">
        <v>46.64</v>
      </c>
      <c r="AI20" s="29" t="s">
        <v>229</v>
      </c>
      <c r="AJ20" s="28">
        <v>34305</v>
      </c>
      <c r="AK20" s="29">
        <v>2.17</v>
      </c>
      <c r="AL20" s="29" t="s">
        <v>229</v>
      </c>
      <c r="AM20" s="28">
        <v>8702</v>
      </c>
      <c r="AN20" s="29">
        <v>0.55000000000000004</v>
      </c>
      <c r="AO20" s="29" t="s">
        <v>229</v>
      </c>
      <c r="AP20" s="28">
        <v>63189</v>
      </c>
      <c r="AQ20" s="29">
        <v>4</v>
      </c>
      <c r="AR20" s="28">
        <v>1580114</v>
      </c>
    </row>
    <row r="21" spans="1:44" ht="15.75" thickBot="1">
      <c r="A21" s="66" t="s">
        <v>177</v>
      </c>
      <c r="B21">
        <v>8</v>
      </c>
      <c r="C21" s="4">
        <v>12854</v>
      </c>
      <c r="D21">
        <v>9723</v>
      </c>
      <c r="E21">
        <v>1137</v>
      </c>
      <c r="F21">
        <v>4</v>
      </c>
      <c r="G21">
        <v>1990</v>
      </c>
      <c r="J21" s="4">
        <v>26955</v>
      </c>
      <c r="K21">
        <v>7746</v>
      </c>
      <c r="L21">
        <v>14576</v>
      </c>
      <c r="M21">
        <v>19</v>
      </c>
      <c r="N21">
        <v>4614</v>
      </c>
      <c r="Q21">
        <v>2650</v>
      </c>
      <c r="R21">
        <v>27</v>
      </c>
      <c r="S21">
        <v>38</v>
      </c>
      <c r="T21">
        <v>154</v>
      </c>
      <c r="U21">
        <v>113</v>
      </c>
      <c r="V21">
        <v>124</v>
      </c>
      <c r="W21">
        <v>3106</v>
      </c>
      <c r="Y21">
        <v>42915</v>
      </c>
      <c r="Z21" s="4"/>
      <c r="AA21" s="59"/>
      <c r="AB21" s="26" t="s">
        <v>72</v>
      </c>
      <c r="AC21" s="27">
        <v>19</v>
      </c>
      <c r="AD21" s="48">
        <v>871700</v>
      </c>
      <c r="AE21" s="29">
        <v>52.36</v>
      </c>
      <c r="AF21" s="29">
        <v>19</v>
      </c>
      <c r="AG21" s="48">
        <v>739894</v>
      </c>
      <c r="AH21" s="29">
        <v>44.44</v>
      </c>
      <c r="AI21" s="29" t="s">
        <v>229</v>
      </c>
      <c r="AJ21" s="28">
        <v>39205</v>
      </c>
      <c r="AK21" s="29">
        <v>2.35</v>
      </c>
      <c r="AL21" s="29" t="s">
        <v>229</v>
      </c>
      <c r="AM21" s="28">
        <v>13966</v>
      </c>
      <c r="AN21" s="29">
        <v>0.84</v>
      </c>
      <c r="AO21" s="29" t="s">
        <v>229</v>
      </c>
      <c r="AP21" s="28">
        <v>131806</v>
      </c>
      <c r="AQ21" s="29">
        <v>7.92</v>
      </c>
      <c r="AR21" s="28">
        <v>1664765</v>
      </c>
    </row>
    <row r="22" spans="1:44" ht="15.75" thickBot="1">
      <c r="A22" s="66" t="s">
        <v>178</v>
      </c>
      <c r="B22">
        <v>17</v>
      </c>
      <c r="C22" s="4">
        <v>60712</v>
      </c>
      <c r="D22">
        <v>49229</v>
      </c>
      <c r="E22">
        <v>3700</v>
      </c>
      <c r="F22">
        <v>21</v>
      </c>
      <c r="G22">
        <v>7762</v>
      </c>
      <c r="J22" s="4">
        <v>34659</v>
      </c>
      <c r="K22">
        <v>11071</v>
      </c>
      <c r="L22">
        <v>18316</v>
      </c>
      <c r="M22">
        <v>39</v>
      </c>
      <c r="N22">
        <v>5233</v>
      </c>
      <c r="Q22">
        <v>7125</v>
      </c>
      <c r="R22">
        <v>77</v>
      </c>
      <c r="S22">
        <v>81</v>
      </c>
      <c r="T22">
        <v>171</v>
      </c>
      <c r="U22">
        <v>471</v>
      </c>
      <c r="V22">
        <v>660</v>
      </c>
      <c r="W22">
        <v>8585</v>
      </c>
      <c r="Y22">
        <v>103956</v>
      </c>
      <c r="Z22" s="4"/>
      <c r="AA22" s="59"/>
      <c r="AB22" s="26" t="s">
        <v>74</v>
      </c>
      <c r="AC22" s="27">
        <v>11</v>
      </c>
      <c r="AD22" s="48">
        <v>600806</v>
      </c>
      <c r="AE22" s="29">
        <v>59.91</v>
      </c>
      <c r="AF22" s="29">
        <v>11</v>
      </c>
      <c r="AG22" s="48">
        <v>363959</v>
      </c>
      <c r="AH22" s="29">
        <v>36.29</v>
      </c>
      <c r="AI22" s="29" t="s">
        <v>229</v>
      </c>
      <c r="AJ22" s="28">
        <v>25476</v>
      </c>
      <c r="AK22" s="29">
        <v>2.54</v>
      </c>
      <c r="AL22" s="29" t="s">
        <v>229</v>
      </c>
      <c r="AM22" s="28">
        <v>12602</v>
      </c>
      <c r="AN22" s="29">
        <v>1.26</v>
      </c>
      <c r="AO22" s="29" t="s">
        <v>229</v>
      </c>
      <c r="AP22" s="28">
        <v>236847</v>
      </c>
      <c r="AQ22" s="29">
        <v>23.62</v>
      </c>
      <c r="AR22" s="28">
        <v>1002843</v>
      </c>
    </row>
    <row r="23" spans="1:44" ht="15.75" thickBot="1">
      <c r="A23" s="66" t="s">
        <v>179</v>
      </c>
      <c r="B23">
        <v>19</v>
      </c>
      <c r="C23" s="4">
        <v>49728</v>
      </c>
      <c r="D23">
        <v>41726</v>
      </c>
      <c r="E23">
        <v>1753</v>
      </c>
      <c r="F23">
        <v>28</v>
      </c>
      <c r="G23">
        <v>6221</v>
      </c>
      <c r="J23" s="4">
        <v>69939</v>
      </c>
      <c r="K23">
        <v>35642</v>
      </c>
      <c r="L23">
        <v>24809</v>
      </c>
      <c r="M23">
        <v>89</v>
      </c>
      <c r="N23">
        <v>9399</v>
      </c>
      <c r="Q23">
        <v>5453</v>
      </c>
      <c r="R23">
        <v>120</v>
      </c>
      <c r="S23">
        <v>177</v>
      </c>
      <c r="T23">
        <v>350</v>
      </c>
      <c r="U23">
        <v>1064</v>
      </c>
      <c r="V23">
        <v>239</v>
      </c>
      <c r="W23">
        <v>7403</v>
      </c>
      <c r="Y23" s="1">
        <v>127070</v>
      </c>
      <c r="Z23" s="4"/>
      <c r="AA23" s="59"/>
      <c r="AB23" s="26" t="s">
        <v>76</v>
      </c>
      <c r="AC23" s="27">
        <v>9</v>
      </c>
      <c r="AD23" s="48">
        <v>140168</v>
      </c>
      <c r="AE23" s="29">
        <v>95.98</v>
      </c>
      <c r="AF23" s="29">
        <v>9</v>
      </c>
      <c r="AG23" s="48">
        <v>5180</v>
      </c>
      <c r="AH23" s="29">
        <v>3.55</v>
      </c>
      <c r="AI23" s="29" t="s">
        <v>229</v>
      </c>
      <c r="AJ23" s="29">
        <v>686</v>
      </c>
      <c r="AK23" s="29">
        <v>0.47</v>
      </c>
      <c r="AL23" s="29" t="s">
        <v>229</v>
      </c>
      <c r="AM23" s="29">
        <v>0</v>
      </c>
      <c r="AN23" s="29">
        <v>0</v>
      </c>
      <c r="AO23" s="29" t="s">
        <v>229</v>
      </c>
      <c r="AP23" s="28">
        <v>134988</v>
      </c>
      <c r="AQ23" s="29">
        <v>92.44</v>
      </c>
      <c r="AR23" s="28">
        <v>146034</v>
      </c>
    </row>
    <row r="24" spans="1:44" ht="15.75" thickBot="1">
      <c r="A24" s="66" t="s">
        <v>180</v>
      </c>
      <c r="B24">
        <v>11</v>
      </c>
      <c r="C24" s="4">
        <v>32613</v>
      </c>
      <c r="D24">
        <v>26527</v>
      </c>
      <c r="E24">
        <v>1491</v>
      </c>
      <c r="F24">
        <v>20</v>
      </c>
      <c r="G24">
        <v>4575</v>
      </c>
      <c r="J24" s="4">
        <v>52238</v>
      </c>
      <c r="K24">
        <v>20504</v>
      </c>
      <c r="L24">
        <v>23411</v>
      </c>
      <c r="M24">
        <v>288</v>
      </c>
      <c r="N24">
        <v>8035</v>
      </c>
      <c r="Q24">
        <v>4047</v>
      </c>
      <c r="R24">
        <v>92</v>
      </c>
      <c r="S24">
        <v>209</v>
      </c>
      <c r="T24">
        <v>369</v>
      </c>
      <c r="U24">
        <v>558</v>
      </c>
      <c r="V24">
        <v>456</v>
      </c>
      <c r="W24">
        <v>5731</v>
      </c>
      <c r="Y24">
        <v>90582</v>
      </c>
      <c r="Z24" s="4"/>
      <c r="AA24" s="59"/>
      <c r="AB24" s="26" t="s">
        <v>78</v>
      </c>
      <c r="AC24" s="27">
        <v>15</v>
      </c>
      <c r="AD24" s="48">
        <v>1025406</v>
      </c>
      <c r="AE24" s="29">
        <v>63.69</v>
      </c>
      <c r="AF24" s="29">
        <v>15</v>
      </c>
      <c r="AG24" s="48">
        <v>564713</v>
      </c>
      <c r="AH24" s="29">
        <v>35.08</v>
      </c>
      <c r="AI24" s="29" t="s">
        <v>229</v>
      </c>
      <c r="AJ24" s="28">
        <v>16374</v>
      </c>
      <c r="AK24" s="29">
        <v>1.02</v>
      </c>
      <c r="AL24" s="29" t="s">
        <v>229</v>
      </c>
      <c r="AM24" s="28">
        <v>3401</v>
      </c>
      <c r="AN24" s="29">
        <v>0.21</v>
      </c>
      <c r="AO24" s="29" t="s">
        <v>229</v>
      </c>
      <c r="AP24" s="28">
        <v>460693</v>
      </c>
      <c r="AQ24" s="29">
        <v>28.62</v>
      </c>
      <c r="AR24" s="28">
        <v>1609894</v>
      </c>
    </row>
    <row r="25" spans="1:44" ht="15.75" thickBot="1">
      <c r="A25" s="66" t="s">
        <v>181</v>
      </c>
      <c r="B25">
        <v>9</v>
      </c>
      <c r="C25" s="4">
        <v>1051</v>
      </c>
      <c r="D25">
        <v>689</v>
      </c>
      <c r="E25">
        <v>164</v>
      </c>
      <c r="F25">
        <v>0</v>
      </c>
      <c r="G25">
        <v>198</v>
      </c>
      <c r="J25" s="4">
        <v>9887</v>
      </c>
      <c r="K25">
        <v>895</v>
      </c>
      <c r="L25">
        <v>7456</v>
      </c>
      <c r="M25">
        <v>1</v>
      </c>
      <c r="N25">
        <v>1535</v>
      </c>
      <c r="Q25">
        <v>88</v>
      </c>
      <c r="R25">
        <v>0</v>
      </c>
      <c r="S25">
        <v>5</v>
      </c>
      <c r="T25">
        <v>108</v>
      </c>
      <c r="U25">
        <v>9</v>
      </c>
      <c r="V25">
        <v>45</v>
      </c>
      <c r="W25">
        <v>255</v>
      </c>
      <c r="Y25" s="1">
        <v>11193</v>
      </c>
      <c r="Z25" s="4"/>
      <c r="AA25" s="59"/>
      <c r="AB25" s="26" t="s">
        <v>80</v>
      </c>
      <c r="AC25" s="27">
        <v>4</v>
      </c>
      <c r="AD25" s="48">
        <v>127286</v>
      </c>
      <c r="AE25" s="29">
        <v>58.8</v>
      </c>
      <c r="AF25" s="29">
        <v>4</v>
      </c>
      <c r="AG25" s="48">
        <v>78078</v>
      </c>
      <c r="AH25" s="29">
        <v>36.07</v>
      </c>
      <c r="AI25" s="29" t="s">
        <v>229</v>
      </c>
      <c r="AJ25" s="28">
        <v>7891</v>
      </c>
      <c r="AK25" s="29">
        <v>3.65</v>
      </c>
      <c r="AL25" s="29" t="s">
        <v>229</v>
      </c>
      <c r="AM25" s="28">
        <v>3224</v>
      </c>
      <c r="AN25" s="29">
        <v>1.49</v>
      </c>
      <c r="AO25" s="29" t="s">
        <v>229</v>
      </c>
      <c r="AP25" s="28">
        <v>49208</v>
      </c>
      <c r="AQ25" s="29">
        <v>22.73</v>
      </c>
      <c r="AR25" s="28">
        <v>216479</v>
      </c>
    </row>
    <row r="26" spans="1:44" ht="15.75" thickBot="1">
      <c r="A26" s="66" t="s">
        <v>182</v>
      </c>
      <c r="B26">
        <v>15</v>
      </c>
      <c r="C26" s="4">
        <v>39071</v>
      </c>
      <c r="D26">
        <v>32607</v>
      </c>
      <c r="E26">
        <v>2343</v>
      </c>
      <c r="F26">
        <v>16</v>
      </c>
      <c r="G26">
        <v>4105</v>
      </c>
      <c r="J26" s="4">
        <v>70882</v>
      </c>
      <c r="K26">
        <v>22516</v>
      </c>
      <c r="L26">
        <v>39919</v>
      </c>
      <c r="M26">
        <v>80</v>
      </c>
      <c r="N26">
        <v>8367</v>
      </c>
      <c r="Q26">
        <v>3254</v>
      </c>
      <c r="R26">
        <v>32</v>
      </c>
      <c r="S26">
        <v>85</v>
      </c>
      <c r="T26">
        <v>249</v>
      </c>
      <c r="U26">
        <v>156</v>
      </c>
      <c r="V26">
        <v>187</v>
      </c>
      <c r="W26">
        <v>3963</v>
      </c>
      <c r="Y26" s="1">
        <v>113916</v>
      </c>
      <c r="Z26" s="4"/>
      <c r="AA26" s="59"/>
      <c r="AB26" s="26" t="s">
        <v>82</v>
      </c>
      <c r="AC26" s="27">
        <v>7</v>
      </c>
      <c r="AD26" s="48">
        <v>359082</v>
      </c>
      <c r="AE26" s="29">
        <v>62.98</v>
      </c>
      <c r="AF26" s="29">
        <v>7</v>
      </c>
      <c r="AG26" s="48">
        <v>201177</v>
      </c>
      <c r="AH26" s="29">
        <v>35.29</v>
      </c>
      <c r="AI26" s="29" t="s">
        <v>229</v>
      </c>
      <c r="AJ26" s="28">
        <v>9876</v>
      </c>
      <c r="AK26" s="29">
        <v>1.73</v>
      </c>
      <c r="AL26" s="29" t="s">
        <v>229</v>
      </c>
      <c r="AM26" s="29">
        <v>2</v>
      </c>
      <c r="AN26" s="29">
        <v>0</v>
      </c>
      <c r="AO26" s="29" t="s">
        <v>229</v>
      </c>
      <c r="AP26" s="28">
        <v>157905</v>
      </c>
      <c r="AQ26" s="29">
        <v>27.7</v>
      </c>
      <c r="AR26" s="28">
        <v>570137</v>
      </c>
    </row>
    <row r="27" spans="1:44" ht="15.75" thickBot="1">
      <c r="A27" s="66" t="s">
        <v>183</v>
      </c>
      <c r="B27">
        <v>4</v>
      </c>
      <c r="C27" s="4">
        <v>5971</v>
      </c>
      <c r="D27">
        <v>4926</v>
      </c>
      <c r="E27">
        <v>337</v>
      </c>
      <c r="F27">
        <v>1</v>
      </c>
      <c r="G27">
        <v>707</v>
      </c>
      <c r="J27" s="4">
        <v>8508</v>
      </c>
      <c r="K27">
        <v>3484</v>
      </c>
      <c r="L27">
        <v>3739</v>
      </c>
      <c r="M27">
        <v>12</v>
      </c>
      <c r="N27">
        <v>1273</v>
      </c>
      <c r="Q27">
        <v>650</v>
      </c>
      <c r="R27">
        <v>2</v>
      </c>
      <c r="S27">
        <v>35</v>
      </c>
      <c r="T27">
        <v>54</v>
      </c>
      <c r="U27">
        <v>136</v>
      </c>
      <c r="V27">
        <v>85</v>
      </c>
      <c r="W27">
        <v>962</v>
      </c>
      <c r="Y27">
        <v>15441</v>
      </c>
      <c r="Z27" s="4"/>
      <c r="AA27" s="59"/>
      <c r="AB27" s="26" t="s">
        <v>84</v>
      </c>
      <c r="AC27" s="27">
        <v>3</v>
      </c>
      <c r="AD27" s="48">
        <v>28756</v>
      </c>
      <c r="AE27" s="29">
        <v>69.41</v>
      </c>
      <c r="AF27" s="29">
        <v>3</v>
      </c>
      <c r="AG27" s="48">
        <v>12674</v>
      </c>
      <c r="AH27" s="29">
        <v>30.59</v>
      </c>
      <c r="AI27" s="29" t="s">
        <v>229</v>
      </c>
      <c r="AJ27" s="29">
        <v>0</v>
      </c>
      <c r="AK27" s="29">
        <v>0</v>
      </c>
      <c r="AL27" s="29" t="s">
        <v>229</v>
      </c>
      <c r="AM27" s="29">
        <v>0</v>
      </c>
      <c r="AN27" s="29">
        <v>0</v>
      </c>
      <c r="AO27" s="29" t="s">
        <v>229</v>
      </c>
      <c r="AP27" s="28">
        <v>16082</v>
      </c>
      <c r="AQ27" s="29">
        <v>38.82</v>
      </c>
      <c r="AR27" s="28">
        <v>41430</v>
      </c>
    </row>
    <row r="28" spans="1:44" ht="15.75" thickBot="1">
      <c r="A28" s="66" t="s">
        <v>184</v>
      </c>
      <c r="B28">
        <v>7</v>
      </c>
      <c r="C28" s="4">
        <v>11405</v>
      </c>
      <c r="D28">
        <v>9167</v>
      </c>
      <c r="E28">
        <v>793</v>
      </c>
      <c r="F28">
        <v>3</v>
      </c>
      <c r="G28">
        <v>1442</v>
      </c>
      <c r="J28" s="4">
        <v>20952</v>
      </c>
      <c r="K28">
        <v>8507</v>
      </c>
      <c r="L28">
        <v>9563</v>
      </c>
      <c r="M28">
        <v>19</v>
      </c>
      <c r="N28">
        <v>2863</v>
      </c>
      <c r="Q28">
        <v>950</v>
      </c>
      <c r="R28">
        <v>15</v>
      </c>
      <c r="S28">
        <v>93</v>
      </c>
      <c r="T28">
        <v>118</v>
      </c>
      <c r="U28">
        <v>64</v>
      </c>
      <c r="V28">
        <v>121</v>
      </c>
      <c r="W28">
        <v>1361</v>
      </c>
      <c r="Y28">
        <v>33718</v>
      </c>
      <c r="Z28" s="4"/>
      <c r="AA28" s="59"/>
      <c r="AB28" s="30" t="s">
        <v>86</v>
      </c>
      <c r="AC28" s="31">
        <v>4</v>
      </c>
      <c r="AD28" s="49">
        <v>100680</v>
      </c>
      <c r="AE28" s="33">
        <v>48.99</v>
      </c>
      <c r="AF28" s="33" t="s">
        <v>229</v>
      </c>
      <c r="AG28" s="49">
        <v>103629</v>
      </c>
      <c r="AH28" s="33">
        <v>50.42</v>
      </c>
      <c r="AI28" s="33">
        <v>4</v>
      </c>
      <c r="AJ28" s="33">
        <v>947</v>
      </c>
      <c r="AK28" s="33">
        <v>0.46</v>
      </c>
      <c r="AL28" s="33" t="s">
        <v>229</v>
      </c>
      <c r="AM28" s="33">
        <v>264</v>
      </c>
      <c r="AN28" s="33">
        <v>0.13</v>
      </c>
      <c r="AO28" s="33" t="s">
        <v>229</v>
      </c>
      <c r="AP28" s="33" t="s">
        <v>240</v>
      </c>
      <c r="AQ28" s="33" t="s">
        <v>241</v>
      </c>
      <c r="AR28" s="32">
        <v>205520</v>
      </c>
    </row>
    <row r="29" spans="1:44" ht="15.75" thickBot="1">
      <c r="A29" s="66" t="s">
        <v>185</v>
      </c>
      <c r="B29">
        <v>3</v>
      </c>
      <c r="C29" s="4">
        <v>701</v>
      </c>
      <c r="D29">
        <v>576</v>
      </c>
      <c r="E29">
        <v>44</v>
      </c>
      <c r="F29">
        <v>7</v>
      </c>
      <c r="G29">
        <v>74</v>
      </c>
      <c r="J29" s="4">
        <v>1506</v>
      </c>
      <c r="K29">
        <v>692</v>
      </c>
      <c r="L29">
        <v>629</v>
      </c>
      <c r="M29">
        <v>1</v>
      </c>
      <c r="N29">
        <v>184</v>
      </c>
      <c r="Q29">
        <v>55</v>
      </c>
      <c r="R29">
        <v>2</v>
      </c>
      <c r="S29">
        <v>2</v>
      </c>
      <c r="T29">
        <v>9</v>
      </c>
      <c r="U29">
        <v>18</v>
      </c>
      <c r="V29">
        <v>1</v>
      </c>
      <c r="W29">
        <v>87</v>
      </c>
      <c r="Y29">
        <v>2294</v>
      </c>
      <c r="Z29" s="4"/>
      <c r="AA29" s="59"/>
      <c r="AB29" s="26" t="s">
        <v>90</v>
      </c>
      <c r="AC29" s="27">
        <v>16</v>
      </c>
      <c r="AD29" s="48">
        <v>806394</v>
      </c>
      <c r="AE29" s="29">
        <v>49.49</v>
      </c>
      <c r="AF29" s="29">
        <v>16</v>
      </c>
      <c r="AG29" s="48">
        <v>775406</v>
      </c>
      <c r="AH29" s="29">
        <v>47.59</v>
      </c>
      <c r="AI29" s="29" t="s">
        <v>229</v>
      </c>
      <c r="AJ29" s="28">
        <v>42988</v>
      </c>
      <c r="AK29" s="29">
        <v>2.64</v>
      </c>
      <c r="AL29" s="29" t="s">
        <v>229</v>
      </c>
      <c r="AM29" s="28">
        <v>4719</v>
      </c>
      <c r="AN29" s="29">
        <v>0.28999999999999998</v>
      </c>
      <c r="AO29" s="29" t="s">
        <v>229</v>
      </c>
      <c r="AP29" s="28">
        <v>30988</v>
      </c>
      <c r="AQ29" s="29">
        <v>1.9</v>
      </c>
      <c r="AR29" s="28">
        <v>1629507</v>
      </c>
    </row>
    <row r="30" spans="1:44" ht="15.75" thickBot="1">
      <c r="A30" s="66" t="s">
        <v>186</v>
      </c>
      <c r="B30">
        <v>4</v>
      </c>
      <c r="C30" s="4">
        <v>6943</v>
      </c>
      <c r="D30">
        <v>5852</v>
      </c>
      <c r="E30">
        <v>280</v>
      </c>
      <c r="F30">
        <v>0</v>
      </c>
      <c r="G30">
        <v>811</v>
      </c>
      <c r="J30" s="4">
        <v>4625</v>
      </c>
      <c r="K30">
        <v>1722</v>
      </c>
      <c r="L30">
        <v>2224</v>
      </c>
      <c r="M30">
        <v>0</v>
      </c>
      <c r="N30">
        <v>679</v>
      </c>
      <c r="Q30">
        <v>408</v>
      </c>
      <c r="R30">
        <v>5</v>
      </c>
      <c r="S30">
        <v>6</v>
      </c>
      <c r="T30">
        <v>43</v>
      </c>
      <c r="U30">
        <v>29</v>
      </c>
      <c r="V30">
        <v>24</v>
      </c>
      <c r="W30">
        <v>515</v>
      </c>
      <c r="Y30">
        <v>12083</v>
      </c>
      <c r="Z30" s="4"/>
      <c r="AA30" s="59"/>
      <c r="AB30" s="26" t="s">
        <v>92</v>
      </c>
      <c r="AC30" s="27">
        <v>3</v>
      </c>
      <c r="AD30" s="48">
        <v>95089</v>
      </c>
      <c r="AE30" s="29">
        <v>62.72</v>
      </c>
      <c r="AF30" s="29">
        <v>3</v>
      </c>
      <c r="AG30" s="48">
        <v>54217</v>
      </c>
      <c r="AH30" s="29">
        <v>35.76</v>
      </c>
      <c r="AI30" s="29" t="s">
        <v>229</v>
      </c>
      <c r="AJ30" s="28">
        <v>1776</v>
      </c>
      <c r="AK30" s="29">
        <v>1.17</v>
      </c>
      <c r="AL30" s="29" t="s">
        <v>229</v>
      </c>
      <c r="AM30" s="29">
        <v>524</v>
      </c>
      <c r="AN30" s="29">
        <v>0.35</v>
      </c>
      <c r="AO30" s="29" t="s">
        <v>229</v>
      </c>
      <c r="AP30" s="28">
        <v>40872</v>
      </c>
      <c r="AQ30" s="29">
        <v>26.96</v>
      </c>
      <c r="AR30" s="28">
        <v>151606</v>
      </c>
    </row>
    <row r="31" spans="1:44" ht="15.75" thickBot="1">
      <c r="A31" s="66" t="s">
        <v>187</v>
      </c>
      <c r="B31">
        <v>16</v>
      </c>
      <c r="C31" s="4">
        <v>69828</v>
      </c>
      <c r="D31">
        <v>57340</v>
      </c>
      <c r="E31">
        <v>3510</v>
      </c>
      <c r="F31">
        <v>21</v>
      </c>
      <c r="G31">
        <v>8957</v>
      </c>
      <c r="J31" s="4">
        <v>58101</v>
      </c>
      <c r="K31">
        <v>22788</v>
      </c>
      <c r="L31">
        <v>26980</v>
      </c>
      <c r="M31">
        <v>67</v>
      </c>
      <c r="N31">
        <v>8266</v>
      </c>
      <c r="Q31">
        <v>11886</v>
      </c>
      <c r="R31">
        <v>37</v>
      </c>
      <c r="S31">
        <v>129</v>
      </c>
      <c r="T31">
        <v>236</v>
      </c>
      <c r="U31">
        <v>559</v>
      </c>
      <c r="V31">
        <v>899</v>
      </c>
      <c r="W31">
        <v>13746</v>
      </c>
      <c r="Y31">
        <v>141675</v>
      </c>
      <c r="Z31" s="4"/>
      <c r="AA31" s="59"/>
      <c r="AB31" s="26" t="s">
        <v>94</v>
      </c>
      <c r="AC31" s="27">
        <v>47</v>
      </c>
      <c r="AD31" s="48">
        <v>2534959</v>
      </c>
      <c r="AE31" s="29">
        <v>54.07</v>
      </c>
      <c r="AF31" s="29">
        <v>47</v>
      </c>
      <c r="AG31" s="48">
        <v>1937963</v>
      </c>
      <c r="AH31" s="29">
        <v>41.33</v>
      </c>
      <c r="AI31" s="29" t="s">
        <v>229</v>
      </c>
      <c r="AJ31" s="28">
        <v>177397</v>
      </c>
      <c r="AK31" s="29">
        <v>3.78</v>
      </c>
      <c r="AL31" s="29" t="s">
        <v>229</v>
      </c>
      <c r="AM31" s="28">
        <v>38295</v>
      </c>
      <c r="AN31" s="29">
        <v>0.82</v>
      </c>
      <c r="AO31" s="29" t="s">
        <v>229</v>
      </c>
      <c r="AP31" s="28">
        <v>596996</v>
      </c>
      <c r="AQ31" s="29">
        <v>12.73</v>
      </c>
      <c r="AR31" s="28">
        <v>4688614</v>
      </c>
    </row>
    <row r="32" spans="1:44" ht="15.75" thickBot="1">
      <c r="A32" s="66" t="s">
        <v>188</v>
      </c>
      <c r="B32">
        <v>3</v>
      </c>
      <c r="C32" s="4">
        <v>1270</v>
      </c>
      <c r="D32">
        <v>1017</v>
      </c>
      <c r="E32">
        <v>82</v>
      </c>
      <c r="F32">
        <v>0</v>
      </c>
      <c r="G32">
        <v>171</v>
      </c>
      <c r="J32" s="4">
        <v>1934</v>
      </c>
      <c r="K32">
        <v>614</v>
      </c>
      <c r="L32">
        <v>1044</v>
      </c>
      <c r="M32">
        <v>1</v>
      </c>
      <c r="N32">
        <v>275</v>
      </c>
      <c r="Q32">
        <v>126</v>
      </c>
      <c r="R32">
        <v>1</v>
      </c>
      <c r="S32">
        <v>3</v>
      </c>
      <c r="T32">
        <v>14</v>
      </c>
      <c r="U32">
        <v>8</v>
      </c>
      <c r="V32">
        <v>8</v>
      </c>
      <c r="W32">
        <v>160</v>
      </c>
      <c r="Y32" s="1">
        <v>3364</v>
      </c>
      <c r="Z32" s="4"/>
      <c r="AA32" s="59"/>
      <c r="AB32" s="26" t="s">
        <v>96</v>
      </c>
      <c r="AC32" s="27">
        <v>13</v>
      </c>
      <c r="AD32" s="48">
        <v>497566</v>
      </c>
      <c r="AE32" s="29">
        <v>69.930000000000007</v>
      </c>
      <c r="AF32" s="29">
        <v>13</v>
      </c>
      <c r="AG32" s="48">
        <v>208344</v>
      </c>
      <c r="AH32" s="29">
        <v>29.28</v>
      </c>
      <c r="AI32" s="29" t="s">
        <v>229</v>
      </c>
      <c r="AJ32" s="28">
        <v>5591</v>
      </c>
      <c r="AK32" s="29">
        <v>0.79</v>
      </c>
      <c r="AL32" s="29" t="s">
        <v>229</v>
      </c>
      <c r="AM32" s="29">
        <v>0</v>
      </c>
      <c r="AN32" s="29">
        <v>0</v>
      </c>
      <c r="AO32" s="29" t="s">
        <v>229</v>
      </c>
      <c r="AP32" s="28">
        <v>289222</v>
      </c>
      <c r="AQ32" s="29">
        <v>40.65</v>
      </c>
      <c r="AR32" s="28">
        <v>711501</v>
      </c>
    </row>
    <row r="33" spans="1:44" ht="15.75" thickBot="1">
      <c r="A33" s="66" t="s">
        <v>189</v>
      </c>
      <c r="B33">
        <v>47</v>
      </c>
      <c r="C33" s="4">
        <v>164453</v>
      </c>
      <c r="D33">
        <v>129981</v>
      </c>
      <c r="E33">
        <v>12965</v>
      </c>
      <c r="F33">
        <v>110</v>
      </c>
      <c r="G33">
        <v>21397</v>
      </c>
      <c r="J33" s="4">
        <v>172765</v>
      </c>
      <c r="K33">
        <v>58865</v>
      </c>
      <c r="L33">
        <v>87642</v>
      </c>
      <c r="M33">
        <v>597</v>
      </c>
      <c r="N33">
        <v>25661</v>
      </c>
      <c r="Q33">
        <v>30568</v>
      </c>
      <c r="R33">
        <v>261</v>
      </c>
      <c r="S33">
        <v>467</v>
      </c>
      <c r="T33">
        <v>634</v>
      </c>
      <c r="U33">
        <v>2956</v>
      </c>
      <c r="V33">
        <v>2554</v>
      </c>
      <c r="W33">
        <v>37440</v>
      </c>
      <c r="Y33">
        <v>374658</v>
      </c>
      <c r="Z33" s="4"/>
      <c r="AA33" s="59"/>
      <c r="AB33" s="26" t="s">
        <v>98</v>
      </c>
      <c r="AC33" s="27">
        <v>4</v>
      </c>
      <c r="AD33" s="48">
        <v>178350</v>
      </c>
      <c r="AE33" s="29">
        <v>69.59</v>
      </c>
      <c r="AF33" s="29">
        <v>4</v>
      </c>
      <c r="AG33" s="48">
        <v>71772</v>
      </c>
      <c r="AH33" s="29">
        <v>28</v>
      </c>
      <c r="AI33" s="29" t="s">
        <v>229</v>
      </c>
      <c r="AJ33" s="28">
        <v>3521</v>
      </c>
      <c r="AK33" s="29">
        <v>1.37</v>
      </c>
      <c r="AL33" s="29" t="s">
        <v>229</v>
      </c>
      <c r="AM33" s="28">
        <v>2647</v>
      </c>
      <c r="AN33" s="29">
        <v>1.03</v>
      </c>
      <c r="AO33" s="29" t="s">
        <v>229</v>
      </c>
      <c r="AP33" s="28">
        <v>106578</v>
      </c>
      <c r="AQ33" s="29">
        <v>41.58</v>
      </c>
      <c r="AR33" s="28">
        <v>256290</v>
      </c>
    </row>
    <row r="34" spans="1:44" ht="15.75" thickBot="1">
      <c r="A34" s="66" t="s">
        <v>190</v>
      </c>
      <c r="B34">
        <v>13</v>
      </c>
      <c r="C34" s="4">
        <v>9963</v>
      </c>
      <c r="D34">
        <v>7830</v>
      </c>
      <c r="E34">
        <v>849</v>
      </c>
      <c r="F34">
        <v>1</v>
      </c>
      <c r="G34">
        <v>1283</v>
      </c>
      <c r="J34" s="4">
        <v>28153</v>
      </c>
      <c r="K34">
        <v>4306</v>
      </c>
      <c r="L34">
        <v>19537</v>
      </c>
      <c r="M34">
        <v>6</v>
      </c>
      <c r="N34">
        <v>4304</v>
      </c>
      <c r="Q34">
        <v>571</v>
      </c>
      <c r="R34">
        <v>8</v>
      </c>
      <c r="S34">
        <v>12</v>
      </c>
      <c r="T34">
        <v>487</v>
      </c>
      <c r="U34">
        <v>27</v>
      </c>
      <c r="V34">
        <v>91</v>
      </c>
      <c r="W34">
        <v>1196</v>
      </c>
      <c r="Y34">
        <v>39312</v>
      </c>
      <c r="Z34" s="4"/>
      <c r="AA34" s="59"/>
      <c r="AB34" s="26" t="s">
        <v>100</v>
      </c>
      <c r="AC34" s="27">
        <v>26</v>
      </c>
      <c r="AD34" s="48">
        <v>1301695</v>
      </c>
      <c r="AE34" s="29">
        <v>49.88</v>
      </c>
      <c r="AF34" s="29">
        <v>26</v>
      </c>
      <c r="AG34" s="48">
        <v>1227319</v>
      </c>
      <c r="AH34" s="29">
        <v>47.03</v>
      </c>
      <c r="AI34" s="29" t="s">
        <v>229</v>
      </c>
      <c r="AJ34" s="28">
        <v>64094</v>
      </c>
      <c r="AK34" s="29">
        <v>2.46</v>
      </c>
      <c r="AL34" s="29" t="s">
        <v>229</v>
      </c>
      <c r="AM34" s="28">
        <v>16620</v>
      </c>
      <c r="AN34" s="29">
        <v>0.64</v>
      </c>
      <c r="AO34" s="29" t="s">
        <v>229</v>
      </c>
      <c r="AP34" s="28">
        <v>74376</v>
      </c>
      <c r="AQ34" s="29">
        <v>2.85</v>
      </c>
      <c r="AR34" s="28">
        <v>2609728</v>
      </c>
    </row>
    <row r="35" spans="1:44" ht="15.75" thickBot="1">
      <c r="A35" s="66" t="s">
        <v>191</v>
      </c>
      <c r="B35">
        <v>4</v>
      </c>
      <c r="C35" s="4">
        <v>4878</v>
      </c>
      <c r="D35">
        <v>4051</v>
      </c>
      <c r="E35">
        <v>250</v>
      </c>
      <c r="F35">
        <v>2</v>
      </c>
      <c r="G35">
        <v>575</v>
      </c>
      <c r="J35" s="4">
        <v>8762</v>
      </c>
      <c r="K35">
        <v>4293</v>
      </c>
      <c r="L35">
        <v>3298</v>
      </c>
      <c r="M35">
        <v>9</v>
      </c>
      <c r="N35">
        <v>1162</v>
      </c>
      <c r="Q35">
        <v>499</v>
      </c>
      <c r="R35">
        <v>8</v>
      </c>
      <c r="S35">
        <v>61</v>
      </c>
      <c r="T35">
        <v>113</v>
      </c>
      <c r="U35">
        <v>82</v>
      </c>
      <c r="V35">
        <v>120</v>
      </c>
      <c r="W35">
        <v>883</v>
      </c>
      <c r="Y35">
        <v>14523</v>
      </c>
      <c r="Z35" s="4"/>
      <c r="AA35" s="59"/>
      <c r="AB35" s="26" t="s">
        <v>102</v>
      </c>
      <c r="AC35" s="27">
        <v>11</v>
      </c>
      <c r="AD35" s="48">
        <v>516468</v>
      </c>
      <c r="AE35" s="29">
        <v>73.3</v>
      </c>
      <c r="AF35" s="29">
        <v>11</v>
      </c>
      <c r="AG35" s="48">
        <v>188165</v>
      </c>
      <c r="AH35" s="29">
        <v>26.7</v>
      </c>
      <c r="AI35" s="29" t="s">
        <v>229</v>
      </c>
      <c r="AJ35" s="29">
        <v>0</v>
      </c>
      <c r="AK35" s="29">
        <v>0</v>
      </c>
      <c r="AL35" s="29" t="s">
        <v>229</v>
      </c>
      <c r="AM35" s="29">
        <v>0</v>
      </c>
      <c r="AN35" s="29">
        <v>0</v>
      </c>
      <c r="AO35" s="29" t="s">
        <v>229</v>
      </c>
      <c r="AP35" s="28">
        <v>328303</v>
      </c>
      <c r="AQ35" s="29">
        <v>46.59</v>
      </c>
      <c r="AR35" s="28">
        <v>704633</v>
      </c>
    </row>
    <row r="36" spans="1:44" ht="15.75" thickBot="1">
      <c r="A36" s="66" t="s">
        <v>192</v>
      </c>
      <c r="B36">
        <v>26</v>
      </c>
      <c r="C36" s="4">
        <v>81512</v>
      </c>
      <c r="D36">
        <v>65536</v>
      </c>
      <c r="E36">
        <v>5096</v>
      </c>
      <c r="F36">
        <v>16</v>
      </c>
      <c r="G36">
        <v>10864</v>
      </c>
      <c r="J36" s="4">
        <v>109943</v>
      </c>
      <c r="K36">
        <v>45454</v>
      </c>
      <c r="L36">
        <v>49323</v>
      </c>
      <c r="M36">
        <v>144</v>
      </c>
      <c r="N36">
        <v>15022</v>
      </c>
      <c r="Q36">
        <v>12275</v>
      </c>
      <c r="R36">
        <v>253</v>
      </c>
      <c r="S36">
        <v>661</v>
      </c>
      <c r="T36">
        <v>882</v>
      </c>
      <c r="U36">
        <v>1480</v>
      </c>
      <c r="V36">
        <v>848</v>
      </c>
      <c r="W36">
        <v>16399</v>
      </c>
      <c r="Y36">
        <v>207854</v>
      </c>
      <c r="Z36" s="4"/>
      <c r="AA36" s="59"/>
      <c r="AB36" s="26" t="s">
        <v>104</v>
      </c>
      <c r="AC36" s="27">
        <v>5</v>
      </c>
      <c r="AD36" s="48">
        <v>213871</v>
      </c>
      <c r="AE36" s="29">
        <v>57.99</v>
      </c>
      <c r="AF36" s="29">
        <v>5</v>
      </c>
      <c r="AG36" s="48">
        <v>136019</v>
      </c>
      <c r="AH36" s="29">
        <v>36.880000000000003</v>
      </c>
      <c r="AI36" s="29" t="s">
        <v>229</v>
      </c>
      <c r="AJ36" s="28">
        <v>15450</v>
      </c>
      <c r="AK36" s="29">
        <v>4.1900000000000004</v>
      </c>
      <c r="AL36" s="29" t="s">
        <v>229</v>
      </c>
      <c r="AM36" s="28">
        <v>3468</v>
      </c>
      <c r="AN36" s="29">
        <v>0.94</v>
      </c>
      <c r="AO36" s="29" t="s">
        <v>229</v>
      </c>
      <c r="AP36" s="28">
        <v>77852</v>
      </c>
      <c r="AQ36" s="29">
        <v>21.11</v>
      </c>
      <c r="AR36" s="28">
        <v>368808</v>
      </c>
    </row>
    <row r="37" spans="1:44" ht="15.75" thickBot="1">
      <c r="A37" s="66" t="s">
        <v>193</v>
      </c>
      <c r="B37">
        <v>11</v>
      </c>
      <c r="C37" s="4">
        <v>10692</v>
      </c>
      <c r="D37">
        <v>8405</v>
      </c>
      <c r="E37">
        <v>834</v>
      </c>
      <c r="F37">
        <v>9</v>
      </c>
      <c r="G37">
        <v>1444</v>
      </c>
      <c r="J37" s="4">
        <v>22848</v>
      </c>
      <c r="K37">
        <v>7488</v>
      </c>
      <c r="L37">
        <v>12053</v>
      </c>
      <c r="M37">
        <v>26</v>
      </c>
      <c r="N37">
        <v>3281</v>
      </c>
      <c r="Q37">
        <v>1409</v>
      </c>
      <c r="R37">
        <v>13</v>
      </c>
      <c r="S37">
        <v>56</v>
      </c>
      <c r="T37">
        <v>307</v>
      </c>
      <c r="U37">
        <v>49</v>
      </c>
      <c r="V37">
        <v>110</v>
      </c>
      <c r="W37">
        <v>1944</v>
      </c>
      <c r="Y37">
        <v>35484</v>
      </c>
      <c r="Z37" s="4"/>
      <c r="AA37" s="59"/>
      <c r="AB37" s="30" t="s">
        <v>106</v>
      </c>
      <c r="AC37" s="31">
        <v>36</v>
      </c>
      <c r="AD37" s="49">
        <v>1295948</v>
      </c>
      <c r="AE37" s="33">
        <v>45.33</v>
      </c>
      <c r="AF37" s="33" t="s">
        <v>229</v>
      </c>
      <c r="AG37" s="49">
        <v>1453540</v>
      </c>
      <c r="AH37" s="33">
        <v>50.84</v>
      </c>
      <c r="AI37" s="33">
        <v>36</v>
      </c>
      <c r="AJ37" s="32">
        <v>91223</v>
      </c>
      <c r="AK37" s="33">
        <v>3.19</v>
      </c>
      <c r="AL37" s="33" t="s">
        <v>229</v>
      </c>
      <c r="AM37" s="32">
        <v>18466</v>
      </c>
      <c r="AN37" s="33">
        <v>0.65</v>
      </c>
      <c r="AO37" s="33" t="s">
        <v>229</v>
      </c>
      <c r="AP37" s="33" t="s">
        <v>242</v>
      </c>
      <c r="AQ37" s="33" t="s">
        <v>243</v>
      </c>
      <c r="AR37" s="32">
        <v>2859177</v>
      </c>
    </row>
    <row r="38" spans="1:44" ht="15.75" thickBot="1">
      <c r="A38" s="66" t="s">
        <v>194</v>
      </c>
      <c r="B38">
        <v>5</v>
      </c>
      <c r="C38" s="4">
        <v>8551</v>
      </c>
      <c r="D38">
        <v>6889</v>
      </c>
      <c r="E38">
        <v>427</v>
      </c>
      <c r="F38">
        <v>4</v>
      </c>
      <c r="G38">
        <v>1231</v>
      </c>
      <c r="J38" s="4">
        <v>15433</v>
      </c>
      <c r="K38">
        <v>7641</v>
      </c>
      <c r="L38">
        <v>5568</v>
      </c>
      <c r="M38">
        <v>33</v>
      </c>
      <c r="N38">
        <v>2191</v>
      </c>
      <c r="Q38">
        <v>994</v>
      </c>
      <c r="R38">
        <v>58</v>
      </c>
      <c r="S38">
        <v>39</v>
      </c>
      <c r="T38">
        <v>139</v>
      </c>
      <c r="U38">
        <v>137</v>
      </c>
      <c r="V38">
        <v>123</v>
      </c>
      <c r="W38">
        <v>1490</v>
      </c>
      <c r="Y38">
        <v>25474</v>
      </c>
      <c r="Z38" s="4"/>
      <c r="AA38" s="59"/>
      <c r="AB38" s="26" t="s">
        <v>109</v>
      </c>
      <c r="AC38" s="27">
        <v>4</v>
      </c>
      <c r="AD38" s="48">
        <v>146604</v>
      </c>
      <c r="AE38" s="29">
        <v>55.08</v>
      </c>
      <c r="AF38" s="29">
        <v>4</v>
      </c>
      <c r="AG38" s="48">
        <v>115266</v>
      </c>
      <c r="AH38" s="29">
        <v>43.31</v>
      </c>
      <c r="AI38" s="29" t="s">
        <v>229</v>
      </c>
      <c r="AJ38" s="28">
        <v>3138</v>
      </c>
      <c r="AK38" s="29">
        <v>1.18</v>
      </c>
      <c r="AL38" s="29" t="s">
        <v>229</v>
      </c>
      <c r="AM38" s="28">
        <v>1162</v>
      </c>
      <c r="AN38" s="29">
        <v>0.44</v>
      </c>
      <c r="AO38" s="29" t="s">
        <v>229</v>
      </c>
      <c r="AP38" s="28">
        <v>31338</v>
      </c>
      <c r="AQ38" s="29">
        <v>11.77</v>
      </c>
      <c r="AR38" s="28">
        <v>266170</v>
      </c>
    </row>
    <row r="39" spans="1:44" ht="15.75" thickBot="1">
      <c r="A39" s="66" t="s">
        <v>195</v>
      </c>
      <c r="B39">
        <v>36</v>
      </c>
      <c r="C39" s="4">
        <v>93057</v>
      </c>
      <c r="D39">
        <v>76264</v>
      </c>
      <c r="E39">
        <v>3699</v>
      </c>
      <c r="F39">
        <v>63</v>
      </c>
      <c r="G39">
        <v>13031</v>
      </c>
      <c r="J39" s="4">
        <v>124675</v>
      </c>
      <c r="K39">
        <v>61001</v>
      </c>
      <c r="L39">
        <v>43756</v>
      </c>
      <c r="M39">
        <v>208</v>
      </c>
      <c r="N39">
        <v>19710</v>
      </c>
      <c r="Q39">
        <v>17607</v>
      </c>
      <c r="R39">
        <v>165</v>
      </c>
      <c r="S39">
        <v>426</v>
      </c>
      <c r="T39">
        <v>1251</v>
      </c>
      <c r="U39">
        <v>1446</v>
      </c>
      <c r="V39">
        <v>2312</v>
      </c>
      <c r="W39">
        <v>23207</v>
      </c>
      <c r="Y39">
        <v>240939</v>
      </c>
      <c r="Z39" s="4"/>
      <c r="AA39" s="59"/>
      <c r="AB39" s="26" t="s">
        <v>111</v>
      </c>
      <c r="AC39" s="27">
        <v>8</v>
      </c>
      <c r="AD39" s="48">
        <v>102347</v>
      </c>
      <c r="AE39" s="29">
        <v>98.03</v>
      </c>
      <c r="AF39" s="29">
        <v>8</v>
      </c>
      <c r="AG39" s="48">
        <v>1978</v>
      </c>
      <c r="AH39" s="29">
        <v>1.89</v>
      </c>
      <c r="AI39" s="29" t="s">
        <v>229</v>
      </c>
      <c r="AJ39" s="29">
        <v>82</v>
      </c>
      <c r="AK39" s="29">
        <v>0.08</v>
      </c>
      <c r="AL39" s="29" t="s">
        <v>229</v>
      </c>
      <c r="AM39" s="29">
        <v>0</v>
      </c>
      <c r="AN39" s="29">
        <v>0</v>
      </c>
      <c r="AO39" s="29" t="s">
        <v>229</v>
      </c>
      <c r="AP39" s="28">
        <v>100369</v>
      </c>
      <c r="AQ39" s="29">
        <v>96.13</v>
      </c>
      <c r="AR39" s="28">
        <v>104407</v>
      </c>
    </row>
    <row r="40" spans="1:44" ht="15.75" thickBot="1">
      <c r="A40" s="66" t="s">
        <v>196</v>
      </c>
      <c r="B40">
        <v>4</v>
      </c>
      <c r="C40" s="4">
        <v>8856</v>
      </c>
      <c r="D40">
        <v>7395</v>
      </c>
      <c r="E40">
        <v>394</v>
      </c>
      <c r="F40">
        <v>1</v>
      </c>
      <c r="G40">
        <v>1066</v>
      </c>
      <c r="J40" s="4">
        <v>7046</v>
      </c>
      <c r="K40">
        <v>2429</v>
      </c>
      <c r="L40">
        <v>3581</v>
      </c>
      <c r="M40">
        <v>2</v>
      </c>
      <c r="N40">
        <v>1034</v>
      </c>
      <c r="Q40">
        <v>729</v>
      </c>
      <c r="R40">
        <v>12</v>
      </c>
      <c r="S40">
        <v>24</v>
      </c>
      <c r="T40">
        <v>27</v>
      </c>
      <c r="U40">
        <v>67</v>
      </c>
      <c r="V40">
        <v>68</v>
      </c>
      <c r="W40">
        <v>927</v>
      </c>
      <c r="Y40">
        <v>16829</v>
      </c>
      <c r="Z40" s="4"/>
      <c r="AA40" s="59"/>
      <c r="AB40" s="26" t="s">
        <v>113</v>
      </c>
      <c r="AC40" s="27">
        <v>4</v>
      </c>
      <c r="AD40" s="48">
        <v>183515</v>
      </c>
      <c r="AE40" s="29">
        <v>63.62</v>
      </c>
      <c r="AF40" s="29">
        <v>4</v>
      </c>
      <c r="AG40" s="48">
        <v>99212</v>
      </c>
      <c r="AH40" s="29">
        <v>34.4</v>
      </c>
      <c r="AI40" s="29" t="s">
        <v>229</v>
      </c>
      <c r="AJ40" s="28">
        <v>1551</v>
      </c>
      <c r="AK40" s="29">
        <v>0.54</v>
      </c>
      <c r="AL40" s="29" t="s">
        <v>229</v>
      </c>
      <c r="AM40" s="28">
        <v>4160</v>
      </c>
      <c r="AN40" s="29">
        <v>1.44</v>
      </c>
      <c r="AO40" s="29" t="s">
        <v>229</v>
      </c>
      <c r="AP40" s="28">
        <v>84303</v>
      </c>
      <c r="AQ40" s="29">
        <v>29.23</v>
      </c>
      <c r="AR40" s="28">
        <v>288438</v>
      </c>
    </row>
    <row r="41" spans="1:44" ht="15.75" thickBot="1">
      <c r="A41" s="66" t="s">
        <v>197</v>
      </c>
      <c r="B41">
        <v>8</v>
      </c>
      <c r="C41" s="4">
        <v>1601</v>
      </c>
      <c r="D41">
        <v>830</v>
      </c>
      <c r="E41">
        <v>392</v>
      </c>
      <c r="F41">
        <v>0</v>
      </c>
      <c r="G41">
        <v>379</v>
      </c>
      <c r="J41" s="4">
        <v>15657</v>
      </c>
      <c r="K41">
        <v>877</v>
      </c>
      <c r="L41">
        <v>12269</v>
      </c>
      <c r="M41">
        <v>1</v>
      </c>
      <c r="N41">
        <v>2510</v>
      </c>
      <c r="Q41">
        <v>162</v>
      </c>
      <c r="R41">
        <v>4</v>
      </c>
      <c r="S41">
        <v>10</v>
      </c>
      <c r="T41">
        <v>137</v>
      </c>
      <c r="U41">
        <v>16</v>
      </c>
      <c r="V41">
        <v>57</v>
      </c>
      <c r="W41">
        <v>386</v>
      </c>
      <c r="Y41">
        <v>17644</v>
      </c>
      <c r="Z41" s="4"/>
      <c r="AA41" s="59"/>
      <c r="AB41" s="26" t="s">
        <v>115</v>
      </c>
      <c r="AC41" s="27">
        <v>11</v>
      </c>
      <c r="AD41" s="48">
        <v>259473</v>
      </c>
      <c r="AE41" s="29">
        <v>66.489999999999995</v>
      </c>
      <c r="AF41" s="29">
        <v>11</v>
      </c>
      <c r="AG41" s="48">
        <v>126752</v>
      </c>
      <c r="AH41" s="29">
        <v>32.479999999999997</v>
      </c>
      <c r="AI41" s="29" t="s">
        <v>229</v>
      </c>
      <c r="AJ41" s="28">
        <v>1796</v>
      </c>
      <c r="AK41" s="29">
        <v>0.46</v>
      </c>
      <c r="AL41" s="29" t="s">
        <v>229</v>
      </c>
      <c r="AM41" s="28">
        <v>2235</v>
      </c>
      <c r="AN41" s="29">
        <v>0.56999999999999995</v>
      </c>
      <c r="AO41" s="29" t="s">
        <v>229</v>
      </c>
      <c r="AP41" s="28">
        <v>132721</v>
      </c>
      <c r="AQ41" s="29">
        <v>34.01</v>
      </c>
      <c r="AR41" s="28">
        <v>390256</v>
      </c>
    </row>
    <row r="42" spans="1:44" ht="15.75" thickBot="1">
      <c r="A42" s="66" t="s">
        <v>198</v>
      </c>
      <c r="B42">
        <v>4</v>
      </c>
      <c r="C42" s="4">
        <v>5910</v>
      </c>
      <c r="D42">
        <v>4896</v>
      </c>
      <c r="E42">
        <v>361</v>
      </c>
      <c r="F42">
        <v>3</v>
      </c>
      <c r="G42">
        <v>650</v>
      </c>
      <c r="J42" s="4">
        <v>9131</v>
      </c>
      <c r="K42">
        <v>4460</v>
      </c>
      <c r="L42">
        <v>3559</v>
      </c>
      <c r="M42">
        <v>7</v>
      </c>
      <c r="N42">
        <v>1105</v>
      </c>
      <c r="Q42">
        <v>314</v>
      </c>
      <c r="R42">
        <v>5</v>
      </c>
      <c r="S42">
        <v>51</v>
      </c>
      <c r="T42">
        <v>97</v>
      </c>
      <c r="U42">
        <v>41</v>
      </c>
      <c r="V42">
        <v>68</v>
      </c>
      <c r="W42">
        <v>576</v>
      </c>
      <c r="Y42">
        <v>15617</v>
      </c>
      <c r="Z42" s="4"/>
      <c r="AA42" s="59"/>
      <c r="AB42" s="26" t="s">
        <v>117</v>
      </c>
      <c r="AC42" s="27">
        <v>23</v>
      </c>
      <c r="AD42" s="48">
        <v>760348</v>
      </c>
      <c r="AE42" s="29">
        <v>88.06</v>
      </c>
      <c r="AF42" s="29">
        <v>23</v>
      </c>
      <c r="AG42" s="48">
        <v>97959</v>
      </c>
      <c r="AH42" s="29">
        <v>11.35</v>
      </c>
      <c r="AI42" s="29" t="s">
        <v>229</v>
      </c>
      <c r="AJ42" s="28">
        <v>4450</v>
      </c>
      <c r="AK42" s="29">
        <v>0.52</v>
      </c>
      <c r="AL42" s="29" t="s">
        <v>229</v>
      </c>
      <c r="AM42" s="29">
        <v>669</v>
      </c>
      <c r="AN42" s="29">
        <v>0.08</v>
      </c>
      <c r="AO42" s="29" t="s">
        <v>229</v>
      </c>
      <c r="AP42" s="28">
        <v>662389</v>
      </c>
      <c r="AQ42" s="29">
        <v>76.72</v>
      </c>
      <c r="AR42" s="28">
        <v>863426</v>
      </c>
    </row>
    <row r="43" spans="1:44" ht="15.75" thickBot="1">
      <c r="A43" s="66" t="s">
        <v>199</v>
      </c>
      <c r="B43">
        <v>11</v>
      </c>
      <c r="C43" s="4">
        <v>11352</v>
      </c>
      <c r="D43">
        <v>8878</v>
      </c>
      <c r="E43">
        <v>905</v>
      </c>
      <c r="F43">
        <v>2</v>
      </c>
      <c r="G43">
        <v>1567</v>
      </c>
      <c r="J43" s="4">
        <v>26635</v>
      </c>
      <c r="K43">
        <v>5493</v>
      </c>
      <c r="L43">
        <v>16494</v>
      </c>
      <c r="M43">
        <v>10</v>
      </c>
      <c r="N43">
        <v>4638</v>
      </c>
      <c r="Q43">
        <v>682</v>
      </c>
      <c r="R43">
        <v>10</v>
      </c>
      <c r="S43">
        <v>14</v>
      </c>
      <c r="T43">
        <v>331</v>
      </c>
      <c r="U43">
        <v>42</v>
      </c>
      <c r="V43">
        <v>86</v>
      </c>
      <c r="W43">
        <v>1165</v>
      </c>
      <c r="Y43">
        <v>39152</v>
      </c>
      <c r="Z43" s="4"/>
      <c r="AA43" s="59"/>
      <c r="AB43" s="26" t="s">
        <v>119</v>
      </c>
      <c r="AC43" s="27">
        <v>4</v>
      </c>
      <c r="AD43" s="48">
        <v>116750</v>
      </c>
      <c r="AE43" s="29">
        <v>56.52</v>
      </c>
      <c r="AF43" s="29">
        <v>4</v>
      </c>
      <c r="AG43" s="48">
        <v>84795</v>
      </c>
      <c r="AH43" s="29">
        <v>41.05</v>
      </c>
      <c r="AI43" s="29" t="s">
        <v>229</v>
      </c>
      <c r="AJ43" s="28">
        <v>4087</v>
      </c>
      <c r="AK43" s="29">
        <v>1.98</v>
      </c>
      <c r="AL43" s="29" t="s">
        <v>229</v>
      </c>
      <c r="AM43" s="29">
        <v>946</v>
      </c>
      <c r="AN43" s="29">
        <v>0.46</v>
      </c>
      <c r="AO43" s="29" t="s">
        <v>229</v>
      </c>
      <c r="AP43" s="28">
        <v>31955</v>
      </c>
      <c r="AQ43" s="29">
        <v>15.47</v>
      </c>
      <c r="AR43" s="28">
        <v>206578</v>
      </c>
    </row>
    <row r="44" spans="1:44" ht="15.75" thickBot="1">
      <c r="A44" s="66" t="s">
        <v>200</v>
      </c>
      <c r="B44">
        <v>23</v>
      </c>
      <c r="C44" s="4">
        <v>15317</v>
      </c>
      <c r="D44">
        <v>11268</v>
      </c>
      <c r="E44">
        <v>1762</v>
      </c>
      <c r="F44">
        <v>2</v>
      </c>
      <c r="G44">
        <v>2285</v>
      </c>
      <c r="J44" s="4">
        <v>74511</v>
      </c>
      <c r="K44">
        <v>18399</v>
      </c>
      <c r="L44">
        <v>45493</v>
      </c>
      <c r="M44">
        <v>30</v>
      </c>
      <c r="N44">
        <v>10589</v>
      </c>
      <c r="Q44">
        <v>1458</v>
      </c>
      <c r="R44">
        <v>20</v>
      </c>
      <c r="S44">
        <v>63</v>
      </c>
      <c r="T44">
        <v>652</v>
      </c>
      <c r="U44">
        <v>115</v>
      </c>
      <c r="V44">
        <v>248</v>
      </c>
      <c r="W44">
        <v>2556</v>
      </c>
      <c r="Y44">
        <v>92384</v>
      </c>
      <c r="Z44" s="4"/>
      <c r="AA44" s="59"/>
      <c r="AB44" s="30" t="s">
        <v>121</v>
      </c>
      <c r="AC44" s="31">
        <v>3</v>
      </c>
      <c r="AD44" s="49">
        <v>56266</v>
      </c>
      <c r="AE44" s="33">
        <v>41.08</v>
      </c>
      <c r="AF44" s="33" t="s">
        <v>229</v>
      </c>
      <c r="AG44" s="49">
        <v>78984</v>
      </c>
      <c r="AH44" s="33">
        <v>57.66</v>
      </c>
      <c r="AI44" s="33">
        <v>3</v>
      </c>
      <c r="AJ44" s="32">
        <v>1533</v>
      </c>
      <c r="AK44" s="33">
        <v>1.1200000000000001</v>
      </c>
      <c r="AL44" s="33" t="s">
        <v>229</v>
      </c>
      <c r="AM44" s="33">
        <v>197</v>
      </c>
      <c r="AN44" s="33">
        <v>0.14000000000000001</v>
      </c>
      <c r="AO44" s="33" t="s">
        <v>229</v>
      </c>
      <c r="AP44" s="33" t="s">
        <v>244</v>
      </c>
      <c r="AQ44" s="33" t="s">
        <v>245</v>
      </c>
      <c r="AR44" s="32">
        <v>136980</v>
      </c>
    </row>
    <row r="45" spans="1:44" ht="15.75" thickBot="1">
      <c r="A45" s="66" t="s">
        <v>201</v>
      </c>
      <c r="B45">
        <v>4</v>
      </c>
      <c r="C45" s="4">
        <v>4744</v>
      </c>
      <c r="D45">
        <v>3788</v>
      </c>
      <c r="E45">
        <v>303</v>
      </c>
      <c r="F45">
        <v>10</v>
      </c>
      <c r="G45">
        <v>643</v>
      </c>
      <c r="J45" s="4">
        <v>8274</v>
      </c>
      <c r="K45">
        <v>3143</v>
      </c>
      <c r="L45">
        <v>3991</v>
      </c>
      <c r="M45">
        <v>10</v>
      </c>
      <c r="N45">
        <v>1130</v>
      </c>
      <c r="Q45">
        <v>558</v>
      </c>
      <c r="R45">
        <v>3</v>
      </c>
      <c r="S45">
        <v>15</v>
      </c>
      <c r="T45">
        <v>35</v>
      </c>
      <c r="U45">
        <v>78</v>
      </c>
      <c r="V45">
        <v>47</v>
      </c>
      <c r="W45">
        <v>736</v>
      </c>
      <c r="Y45">
        <v>13754</v>
      </c>
      <c r="Z45" s="4"/>
      <c r="AA45" s="59"/>
      <c r="AB45" s="26" t="s">
        <v>123</v>
      </c>
      <c r="AC45" s="27">
        <v>11</v>
      </c>
      <c r="AD45" s="48">
        <v>203979</v>
      </c>
      <c r="AE45" s="29">
        <v>68.459999999999994</v>
      </c>
      <c r="AF45" s="29">
        <v>11</v>
      </c>
      <c r="AG45" s="48">
        <v>89637</v>
      </c>
      <c r="AH45" s="29">
        <v>30.09</v>
      </c>
      <c r="AI45" s="29" t="s">
        <v>229</v>
      </c>
      <c r="AJ45" s="28">
        <v>2382</v>
      </c>
      <c r="AK45" s="29">
        <v>0.8</v>
      </c>
      <c r="AL45" s="29" t="s">
        <v>229</v>
      </c>
      <c r="AM45" s="28">
        <v>1944</v>
      </c>
      <c r="AN45" s="29">
        <v>0.65</v>
      </c>
      <c r="AO45" s="29" t="s">
        <v>229</v>
      </c>
      <c r="AP45" s="28">
        <v>114342</v>
      </c>
      <c r="AQ45" s="29">
        <v>38.380000000000003</v>
      </c>
      <c r="AR45" s="28">
        <v>297942</v>
      </c>
    </row>
    <row r="46" spans="1:44" ht="15.75" thickBot="1">
      <c r="A46" s="66" t="s">
        <v>202</v>
      </c>
      <c r="B46">
        <v>3</v>
      </c>
      <c r="C46" s="4">
        <v>4945</v>
      </c>
      <c r="D46">
        <v>4115</v>
      </c>
      <c r="E46">
        <v>138</v>
      </c>
      <c r="F46">
        <v>1</v>
      </c>
      <c r="G46">
        <v>691</v>
      </c>
      <c r="J46" s="4">
        <v>3301</v>
      </c>
      <c r="K46">
        <v>1277</v>
      </c>
      <c r="L46">
        <v>1520</v>
      </c>
      <c r="M46">
        <v>1</v>
      </c>
      <c r="N46">
        <v>503</v>
      </c>
      <c r="Q46">
        <v>271</v>
      </c>
      <c r="R46">
        <v>1</v>
      </c>
      <c r="S46">
        <v>8</v>
      </c>
      <c r="T46">
        <v>21</v>
      </c>
      <c r="U46">
        <v>6</v>
      </c>
      <c r="V46">
        <v>33</v>
      </c>
      <c r="W46">
        <v>340</v>
      </c>
      <c r="Y46">
        <v>8586</v>
      </c>
      <c r="Z46" s="4"/>
      <c r="AA46" s="59"/>
      <c r="AB46" s="26" t="s">
        <v>125</v>
      </c>
      <c r="AC46" s="27">
        <v>8</v>
      </c>
      <c r="AD46" s="48">
        <v>353260</v>
      </c>
      <c r="AE46" s="29">
        <v>57.46</v>
      </c>
      <c r="AF46" s="29">
        <v>8</v>
      </c>
      <c r="AG46" s="48">
        <v>208645</v>
      </c>
      <c r="AH46" s="29">
        <v>33.94</v>
      </c>
      <c r="AI46" s="29" t="s">
        <v>229</v>
      </c>
      <c r="AJ46" s="28">
        <v>17080</v>
      </c>
      <c r="AK46" s="29">
        <v>2.78</v>
      </c>
      <c r="AL46" s="29" t="s">
        <v>229</v>
      </c>
      <c r="AM46" s="28">
        <v>35829</v>
      </c>
      <c r="AN46" s="29">
        <v>5.83</v>
      </c>
      <c r="AO46" s="29" t="s">
        <v>229</v>
      </c>
      <c r="AP46" s="28">
        <v>144615</v>
      </c>
      <c r="AQ46" s="29">
        <v>23.52</v>
      </c>
      <c r="AR46" s="28">
        <v>614814</v>
      </c>
    </row>
    <row r="47" spans="1:44" ht="15.75" thickBot="1">
      <c r="A47" s="66" t="s">
        <v>203</v>
      </c>
      <c r="B47">
        <v>11</v>
      </c>
      <c r="C47" s="4">
        <v>13440</v>
      </c>
      <c r="D47">
        <v>10548</v>
      </c>
      <c r="E47">
        <v>1104</v>
      </c>
      <c r="F47">
        <v>12</v>
      </c>
      <c r="G47">
        <v>1776</v>
      </c>
      <c r="J47" s="4">
        <v>34191</v>
      </c>
      <c r="K47">
        <v>7446</v>
      </c>
      <c r="L47">
        <v>21144</v>
      </c>
      <c r="M47">
        <v>13</v>
      </c>
      <c r="N47">
        <v>5588</v>
      </c>
      <c r="Q47">
        <v>942</v>
      </c>
      <c r="R47">
        <v>13</v>
      </c>
      <c r="S47">
        <v>28</v>
      </c>
      <c r="T47">
        <v>400</v>
      </c>
      <c r="U47">
        <v>84</v>
      </c>
      <c r="V47">
        <v>142</v>
      </c>
      <c r="W47">
        <v>1609</v>
      </c>
      <c r="Y47">
        <v>49240</v>
      </c>
      <c r="Z47" s="4"/>
      <c r="AA47" s="59"/>
      <c r="AB47" s="26" t="s">
        <v>127</v>
      </c>
      <c r="AC47" s="27">
        <v>8</v>
      </c>
      <c r="AD47" s="48">
        <v>405124</v>
      </c>
      <c r="AE47" s="29">
        <v>54.47</v>
      </c>
      <c r="AF47" s="29">
        <v>8</v>
      </c>
      <c r="AG47" s="48">
        <v>330731</v>
      </c>
      <c r="AH47" s="29">
        <v>44.47</v>
      </c>
      <c r="AI47" s="29" t="s">
        <v>229</v>
      </c>
      <c r="AJ47" s="28">
        <v>5133</v>
      </c>
      <c r="AK47" s="29">
        <v>0.69</v>
      </c>
      <c r="AL47" s="29" t="s">
        <v>229</v>
      </c>
      <c r="AM47" s="28">
        <v>2786</v>
      </c>
      <c r="AN47" s="29">
        <v>0.37</v>
      </c>
      <c r="AO47" s="29" t="s">
        <v>229</v>
      </c>
      <c r="AP47" s="28">
        <v>74393</v>
      </c>
      <c r="AQ47" s="29">
        <v>10</v>
      </c>
      <c r="AR47" s="28">
        <v>743774</v>
      </c>
    </row>
    <row r="48" spans="1:44" ht="15.75" thickBot="1">
      <c r="A48" s="66" t="s">
        <v>204</v>
      </c>
      <c r="B48">
        <v>8</v>
      </c>
      <c r="C48" s="4">
        <v>16717</v>
      </c>
      <c r="D48">
        <v>13723</v>
      </c>
      <c r="E48">
        <v>807</v>
      </c>
      <c r="F48">
        <v>5</v>
      </c>
      <c r="G48">
        <v>2182</v>
      </c>
      <c r="J48" s="4">
        <v>30324</v>
      </c>
      <c r="K48">
        <v>14959</v>
      </c>
      <c r="L48">
        <v>10727</v>
      </c>
      <c r="M48">
        <v>45</v>
      </c>
      <c r="N48">
        <v>4593</v>
      </c>
      <c r="Q48">
        <v>1624</v>
      </c>
      <c r="R48">
        <v>57</v>
      </c>
      <c r="S48">
        <v>93</v>
      </c>
      <c r="T48">
        <v>175</v>
      </c>
      <c r="U48">
        <v>300</v>
      </c>
      <c r="V48">
        <v>527</v>
      </c>
      <c r="W48">
        <v>2776</v>
      </c>
      <c r="Y48">
        <v>49817</v>
      </c>
      <c r="Z48" s="4"/>
      <c r="AA48" s="59"/>
      <c r="AB48" s="26" t="s">
        <v>129</v>
      </c>
      <c r="AC48" s="27">
        <v>12</v>
      </c>
      <c r="AD48" s="48">
        <v>707410</v>
      </c>
      <c r="AE48" s="29">
        <v>63.46</v>
      </c>
      <c r="AF48" s="29">
        <v>12</v>
      </c>
      <c r="AG48" s="48">
        <v>347741</v>
      </c>
      <c r="AH48" s="29">
        <v>31.19</v>
      </c>
      <c r="AI48" s="29" t="s">
        <v>229</v>
      </c>
      <c r="AJ48" s="28">
        <v>53379</v>
      </c>
      <c r="AK48" s="29">
        <v>4.79</v>
      </c>
      <c r="AL48" s="29" t="s">
        <v>229</v>
      </c>
      <c r="AM48" s="28">
        <v>6278</v>
      </c>
      <c r="AN48" s="29">
        <v>0.56000000000000005</v>
      </c>
      <c r="AO48" s="29" t="s">
        <v>229</v>
      </c>
      <c r="AP48" s="28">
        <v>359669</v>
      </c>
      <c r="AQ48" s="29">
        <v>32.26</v>
      </c>
      <c r="AR48" s="28">
        <v>1114808</v>
      </c>
    </row>
    <row r="49" spans="1:44" ht="15.75" thickBot="1">
      <c r="A49" s="66" t="s">
        <v>205</v>
      </c>
      <c r="B49">
        <v>8</v>
      </c>
      <c r="C49" s="4">
        <v>14365</v>
      </c>
      <c r="D49">
        <v>11672</v>
      </c>
      <c r="E49">
        <v>1036</v>
      </c>
      <c r="F49">
        <v>3</v>
      </c>
      <c r="G49">
        <v>1654</v>
      </c>
      <c r="J49" s="4">
        <v>23153</v>
      </c>
      <c r="K49">
        <v>6878</v>
      </c>
      <c r="L49">
        <v>13322</v>
      </c>
      <c r="M49">
        <v>24</v>
      </c>
      <c r="N49">
        <v>2929</v>
      </c>
      <c r="Q49">
        <v>768</v>
      </c>
      <c r="R49">
        <v>5</v>
      </c>
      <c r="S49">
        <v>30</v>
      </c>
      <c r="T49">
        <v>223</v>
      </c>
      <c r="U49">
        <v>63</v>
      </c>
      <c r="V49">
        <v>88</v>
      </c>
      <c r="W49">
        <v>1177</v>
      </c>
      <c r="Y49">
        <v>38695</v>
      </c>
      <c r="Z49" s="4"/>
      <c r="AA49" s="59"/>
      <c r="AB49" s="26" t="s">
        <v>131</v>
      </c>
      <c r="AC49" s="27">
        <v>3</v>
      </c>
      <c r="AD49" s="48">
        <v>54370</v>
      </c>
      <c r="AE49" s="29">
        <v>56.07</v>
      </c>
      <c r="AF49" s="29">
        <v>3</v>
      </c>
      <c r="AG49" s="48">
        <v>39583</v>
      </c>
      <c r="AH49" s="29">
        <v>40.82</v>
      </c>
      <c r="AI49" s="29" t="s">
        <v>229</v>
      </c>
      <c r="AJ49" s="28">
        <v>2829</v>
      </c>
      <c r="AK49" s="29">
        <v>2.92</v>
      </c>
      <c r="AL49" s="29" t="s">
        <v>229</v>
      </c>
      <c r="AM49" s="29">
        <v>180</v>
      </c>
      <c r="AN49" s="29">
        <v>0.19</v>
      </c>
      <c r="AO49" s="29" t="s">
        <v>229</v>
      </c>
      <c r="AP49" s="28">
        <v>14787</v>
      </c>
      <c r="AQ49" s="29">
        <v>15.25</v>
      </c>
      <c r="AR49" s="29">
        <v>96962</v>
      </c>
    </row>
    <row r="50" spans="1:44" ht="15.75" thickBot="1">
      <c r="A50" s="66" t="s">
        <v>206</v>
      </c>
      <c r="B50">
        <v>12</v>
      </c>
      <c r="C50" s="4">
        <v>21375</v>
      </c>
      <c r="D50">
        <v>17691</v>
      </c>
      <c r="E50">
        <v>961</v>
      </c>
      <c r="F50">
        <v>20</v>
      </c>
      <c r="G50">
        <v>2703</v>
      </c>
      <c r="J50" s="4">
        <v>44054</v>
      </c>
      <c r="K50">
        <v>19347</v>
      </c>
      <c r="L50">
        <v>18392</v>
      </c>
      <c r="M50">
        <v>161</v>
      </c>
      <c r="N50">
        <v>6154</v>
      </c>
      <c r="Q50">
        <v>4289</v>
      </c>
      <c r="R50">
        <v>33</v>
      </c>
      <c r="S50">
        <v>64</v>
      </c>
      <c r="T50">
        <v>198</v>
      </c>
      <c r="U50">
        <v>312</v>
      </c>
      <c r="V50">
        <v>151</v>
      </c>
      <c r="W50">
        <v>5047</v>
      </c>
      <c r="Y50">
        <v>70476</v>
      </c>
      <c r="Z50" s="4"/>
      <c r="AA50" s="59"/>
      <c r="AB50" s="69" t="s">
        <v>157</v>
      </c>
      <c r="AC50" s="69">
        <v>531</v>
      </c>
      <c r="AD50" s="60">
        <v>22821277</v>
      </c>
      <c r="AE50" s="61">
        <v>57.41</v>
      </c>
      <c r="AF50" s="61">
        <v>472</v>
      </c>
      <c r="AG50" s="60">
        <v>15761254</v>
      </c>
      <c r="AH50" s="61">
        <v>39.65</v>
      </c>
      <c r="AI50" s="61">
        <v>59</v>
      </c>
      <c r="AJ50" s="60">
        <v>884885</v>
      </c>
      <c r="AK50" s="61">
        <v>2.23</v>
      </c>
      <c r="AL50" s="61" t="s">
        <v>229</v>
      </c>
      <c r="AM50" s="60">
        <v>284482</v>
      </c>
      <c r="AN50" s="61">
        <v>0.72</v>
      </c>
      <c r="AO50" s="61"/>
      <c r="AP50" s="60">
        <v>7060023</v>
      </c>
      <c r="AQ50" s="61">
        <v>17.760000000000002</v>
      </c>
      <c r="AR50" s="60">
        <v>39751898</v>
      </c>
    </row>
    <row r="51" spans="1:44" ht="15.75" thickBot="1">
      <c r="A51" s="66" t="s">
        <v>207</v>
      </c>
      <c r="B51">
        <v>3</v>
      </c>
      <c r="C51" s="4">
        <v>2201</v>
      </c>
      <c r="D51">
        <v>1765</v>
      </c>
      <c r="E51">
        <v>175</v>
      </c>
      <c r="F51">
        <v>0</v>
      </c>
      <c r="G51">
        <v>261</v>
      </c>
      <c r="J51" s="4">
        <v>2913</v>
      </c>
      <c r="K51">
        <v>1229</v>
      </c>
      <c r="L51">
        <v>1244</v>
      </c>
      <c r="M51">
        <v>6</v>
      </c>
      <c r="N51">
        <v>434</v>
      </c>
      <c r="Q51">
        <v>248</v>
      </c>
      <c r="R51">
        <v>5</v>
      </c>
      <c r="S51">
        <v>8</v>
      </c>
      <c r="T51">
        <v>27</v>
      </c>
      <c r="U51">
        <v>24</v>
      </c>
      <c r="V51">
        <v>15</v>
      </c>
      <c r="W51">
        <v>327</v>
      </c>
      <c r="Y51">
        <v>5441</v>
      </c>
      <c r="Z51" s="4"/>
      <c r="AA51" s="59"/>
      <c r="AB51" s="70"/>
      <c r="AC51" s="70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3"/>
    </row>
    <row r="52" spans="1:44">
      <c r="A52" s="66" t="s">
        <v>246</v>
      </c>
      <c r="C52" s="4">
        <v>17661</v>
      </c>
      <c r="D52">
        <v>11401</v>
      </c>
      <c r="E52">
        <v>1735</v>
      </c>
      <c r="F52">
        <v>17</v>
      </c>
      <c r="G52">
        <v>4508</v>
      </c>
      <c r="J52" s="4">
        <v>30749</v>
      </c>
      <c r="K52">
        <v>9340</v>
      </c>
      <c r="L52">
        <v>13348</v>
      </c>
      <c r="M52">
        <v>45</v>
      </c>
      <c r="N52">
        <v>8016</v>
      </c>
      <c r="Q52">
        <v>2396</v>
      </c>
      <c r="R52">
        <v>37</v>
      </c>
      <c r="S52">
        <v>155</v>
      </c>
      <c r="T52">
        <v>490</v>
      </c>
      <c r="U52">
        <v>287</v>
      </c>
      <c r="V52">
        <v>179</v>
      </c>
      <c r="W52">
        <v>3544</v>
      </c>
      <c r="Y52">
        <v>51954</v>
      </c>
      <c r="Z52" s="4"/>
      <c r="AA52" s="59"/>
      <c r="AC52" s="64"/>
    </row>
    <row r="53" spans="1:44">
      <c r="A53" s="66" t="s">
        <v>134</v>
      </c>
      <c r="B53">
        <v>531</v>
      </c>
      <c r="C53" s="4">
        <v>1150398</v>
      </c>
      <c r="D53">
        <v>926929</v>
      </c>
      <c r="E53">
        <v>70793</v>
      </c>
      <c r="F53">
        <v>600</v>
      </c>
      <c r="G53">
        <v>152076</v>
      </c>
      <c r="J53" s="4">
        <v>1715789</v>
      </c>
      <c r="K53">
        <v>638250</v>
      </c>
      <c r="L53">
        <v>822692</v>
      </c>
      <c r="M53">
        <v>2751</v>
      </c>
      <c r="N53">
        <v>252096</v>
      </c>
      <c r="Q53">
        <v>148079</v>
      </c>
      <c r="R53">
        <v>1906</v>
      </c>
      <c r="S53">
        <v>4390</v>
      </c>
      <c r="T53">
        <v>13990</v>
      </c>
      <c r="U53">
        <v>15743</v>
      </c>
      <c r="V53">
        <v>14202</v>
      </c>
      <c r="W53">
        <v>198310</v>
      </c>
      <c r="Y53">
        <v>3064497</v>
      </c>
      <c r="AA53" s="59"/>
    </row>
    <row r="64" spans="1:44">
      <c r="Z64" s="4"/>
    </row>
  </sheetData>
  <mergeCells count="5">
    <mergeCell ref="D1:G1"/>
    <mergeCell ref="K1:N1"/>
    <mergeCell ref="AB50:AB51"/>
    <mergeCell ref="AC50:AC51"/>
    <mergeCell ref="Q1:W1"/>
  </mergeCells>
  <phoneticPr fontId="11" type="noConversion"/>
  <hyperlinks>
    <hyperlink ref="AB2" r:id="rId1" tooltip="1932 United States presidential election in Alabama" display="https://en.wikipedia.org/wiki/1932_United_States_presidential_election_in_Alabama" xr:uid="{737BB39E-9009-4C9A-A64D-D4B2B5E468FA}"/>
    <hyperlink ref="AB3" r:id="rId2" tooltip="1932 United States presidential election in Arizona" display="https://en.wikipedia.org/wiki/1932_United_States_presidential_election_in_Arizona" xr:uid="{999F15F6-D62C-40EC-80AD-646325A86563}"/>
    <hyperlink ref="AB4" r:id="rId3" tooltip="1932 United States presidential election in Arkansas" display="https://en.wikipedia.org/wiki/1932_United_States_presidential_election_in_Arkansas" xr:uid="{EF1E2D3D-97D0-4F6D-985B-0A5E5FBA6F01}"/>
    <hyperlink ref="AB5" r:id="rId4" tooltip="1932 United States presidential election in California" display="https://en.wikipedia.org/wiki/1932_United_States_presidential_election_in_California" xr:uid="{0D6612CE-5DC8-47C6-B87C-8E263BA894A2}"/>
    <hyperlink ref="AB6" r:id="rId5" tooltip="1932 United States presidential election in Colorado" display="https://en.wikipedia.org/wiki/1932_United_States_presidential_election_in_Colorado" xr:uid="{594A6B31-5B22-4031-BC97-228C5D812CAB}"/>
    <hyperlink ref="AB7" r:id="rId6" tooltip="1932 United States presidential election in Connecticut" display="https://en.wikipedia.org/wiki/1932_United_States_presidential_election_in_Connecticut" xr:uid="{02D8AE23-6D07-4215-BFC6-415A8604FD7C}"/>
    <hyperlink ref="AB8" r:id="rId7" tooltip="1932 United States presidential election in Delaware" display="https://en.wikipedia.org/wiki/1932_United_States_presidential_election_in_Delaware" xr:uid="{9D6347C5-C17C-4493-9AE2-BB303245E0CC}"/>
    <hyperlink ref="AB9" r:id="rId8" tooltip="1932 United States presidential election in Florida" display="https://en.wikipedia.org/wiki/1932_United_States_presidential_election_in_Florida" xr:uid="{583CAA95-ACF7-440C-97F8-19E41D4A610E}"/>
    <hyperlink ref="AB10" r:id="rId9" tooltip="1932 United States presidential election in Georgia" display="https://en.wikipedia.org/wiki/1932_United_States_presidential_election_in_Georgia" xr:uid="{54E5A4A1-67F9-4B33-8B38-679FBFC9F039}"/>
    <hyperlink ref="AB11" r:id="rId10" tooltip="1932 United States presidential election in Idaho" display="https://en.wikipedia.org/wiki/1932_United_States_presidential_election_in_Idaho" xr:uid="{43311068-ACFA-4683-99E3-696CB0CC905A}"/>
    <hyperlink ref="AB12" r:id="rId11" tooltip="1932 United States presidential election in Illinois" display="https://en.wikipedia.org/wiki/1932_United_States_presidential_election_in_Illinois" xr:uid="{8348D9ED-4574-40D1-8A70-3AFA7CA4B6C4}"/>
    <hyperlink ref="AB13" r:id="rId12" tooltip="1932 United States presidential election in Indiana" display="https://en.wikipedia.org/wiki/1932_United_States_presidential_election_in_Indiana" xr:uid="{33B4C9E5-632F-4CC8-A72A-68DBA1DE3D1A}"/>
    <hyperlink ref="AB14" r:id="rId13" tooltip="1932 United States presidential election in Iowa" display="https://en.wikipedia.org/wiki/1932_United_States_presidential_election_in_Iowa" xr:uid="{C934CEFB-C227-4111-9EA2-91436A9A8C88}"/>
    <hyperlink ref="AB15" r:id="rId14" tooltip="1932 United States presidential election in Kansas" display="https://en.wikipedia.org/wiki/1932_United_States_presidential_election_in_Kansas" xr:uid="{02FE09E2-9F94-4B4C-A37A-B2B8C3289521}"/>
    <hyperlink ref="AB16" r:id="rId15" tooltip="1932 United States presidential election in Kentucky" display="https://en.wikipedia.org/wiki/1932_United_States_presidential_election_in_Kentucky" xr:uid="{69E32968-5738-4FF9-9518-8D3708EB65FA}"/>
    <hyperlink ref="AB17" r:id="rId16" tooltip="1932 United States presidential election in Louisiana" display="https://en.wikipedia.org/wiki/1932_United_States_presidential_election_in_Louisiana" xr:uid="{B99BAA1D-1793-43BC-BECE-2C478981356B}"/>
    <hyperlink ref="AB18" r:id="rId17" tooltip="1932 United States presidential election in Maine" display="https://en.wikipedia.org/wiki/1932_United_States_presidential_election_in_Maine" xr:uid="{E14AB4B5-9AD7-4E58-B8A3-ADD5F1BAF5A8}"/>
    <hyperlink ref="AB19" r:id="rId18" tooltip="1932 United States presidential election in Maryland" display="https://en.wikipedia.org/wiki/1932_United_States_presidential_election_in_Maryland" xr:uid="{7E06C5D9-E6AE-49F1-B9D1-6DC2277F7823}"/>
    <hyperlink ref="AB20" r:id="rId19" tooltip="1932 United States presidential election in Massachusetts" display="https://en.wikipedia.org/wiki/1932_United_States_presidential_election_in_Massachusetts" xr:uid="{87E71E00-3F5B-4A41-B88C-0236144E9590}"/>
    <hyperlink ref="AB21" r:id="rId20" tooltip="1932 United States presidential election in Michigan" display="https://en.wikipedia.org/wiki/1932_United_States_presidential_election_in_Michigan" xr:uid="{3A123A56-8B23-4D75-812F-2D06D13A5A22}"/>
    <hyperlink ref="AB22" r:id="rId21" tooltip="1932 United States presidential election in Minnesota" display="https://en.wikipedia.org/wiki/1932_United_States_presidential_election_in_Minnesota" xr:uid="{E096AED1-E4DF-4D03-8B88-28E81DA81FA6}"/>
    <hyperlink ref="AB23" r:id="rId22" tooltip="1932 United States presidential election in Mississippi" display="https://en.wikipedia.org/wiki/1932_United_States_presidential_election_in_Mississippi" xr:uid="{CF307C6C-AE85-4A19-A5FC-FA3F7A9CF6CA}"/>
    <hyperlink ref="AB24" r:id="rId23" tooltip="1932 United States presidential election in Missouri" display="https://en.wikipedia.org/wiki/1932_United_States_presidential_election_in_Missouri" xr:uid="{52B76850-9461-42C4-BA5B-832BDA46F87E}"/>
    <hyperlink ref="AB25" r:id="rId24" tooltip="1932 United States presidential election in Montana" display="https://en.wikipedia.org/wiki/1932_United_States_presidential_election_in_Montana" xr:uid="{5BF42203-146B-4E28-97C9-BCD8FDA2B320}"/>
    <hyperlink ref="AB26" r:id="rId25" tooltip="1932 United States presidential election in Nebraska" display="https://en.wikipedia.org/wiki/1932_United_States_presidential_election_in_Nebraska" xr:uid="{541E5B82-2CE6-4448-8FAE-28ABEC6C0537}"/>
    <hyperlink ref="AB27" r:id="rId26" tooltip="1932 United States presidential election in Nevada" display="https://en.wikipedia.org/wiki/1932_United_States_presidential_election_in_Nevada" xr:uid="{84162670-88FF-452D-B361-B814F77EC57C}"/>
    <hyperlink ref="AB28" r:id="rId27" tooltip="1932 United States presidential election in New Hampshire" display="https://en.wikipedia.org/wiki/1932_United_States_presidential_election_in_New_Hampshire" xr:uid="{91F9286F-8DF5-4309-8AD6-6015A4992220}"/>
    <hyperlink ref="AB29" r:id="rId28" tooltip="1932 United States presidential election in New Jersey" display="https://en.wikipedia.org/wiki/1932_United_States_presidential_election_in_New_Jersey" xr:uid="{D35CF2E2-9053-421D-9196-5FA7B0F650AF}"/>
    <hyperlink ref="AB30" r:id="rId29" tooltip="1932 United States presidential election in New Mexico" display="https://en.wikipedia.org/wiki/1932_United_States_presidential_election_in_New_Mexico" xr:uid="{3A840023-39B9-4DBB-B813-4BCCB36C398F}"/>
    <hyperlink ref="AB31" r:id="rId30" tooltip="1932 United States presidential election in New York" display="https://en.wikipedia.org/wiki/1932_United_States_presidential_election_in_New_York" xr:uid="{4D6DC869-1882-4FCD-A890-5C6032D2360D}"/>
    <hyperlink ref="AB32" r:id="rId31" tooltip="1932 United States presidential election in North Carolina" display="https://en.wikipedia.org/wiki/1932_United_States_presidential_election_in_North_Carolina" xr:uid="{169EF67B-022E-4C46-AEE3-16667079CA22}"/>
    <hyperlink ref="AB33" r:id="rId32" tooltip="1932 United States presidential election in North Dakota" display="https://en.wikipedia.org/wiki/1932_United_States_presidential_election_in_North_Dakota" xr:uid="{FCB58C61-314A-4C3C-91BF-B52E63AD1956}"/>
    <hyperlink ref="AB34" r:id="rId33" tooltip="1932 United States presidential election in Ohio" display="https://en.wikipedia.org/wiki/1932_United_States_presidential_election_in_Ohio" xr:uid="{7BA5DC13-7878-41DF-BF5A-51E3E5354988}"/>
    <hyperlink ref="AB35" r:id="rId34" tooltip="1932 United States presidential election in Oklahoma" display="https://en.wikipedia.org/wiki/1932_United_States_presidential_election_in_Oklahoma" xr:uid="{A7EF7EC8-F26F-4104-AFC6-E90799DEB996}"/>
    <hyperlink ref="AB36" r:id="rId35" tooltip="1932 United States presidential election in Oregon" display="https://en.wikipedia.org/wiki/1932_United_States_presidential_election_in_Oregon" xr:uid="{8A91C12B-0E60-4DE0-9C18-4F9FF3A59580}"/>
    <hyperlink ref="AB37" r:id="rId36" tooltip="1932 United States presidential election in Pennsylvania" display="https://en.wikipedia.org/wiki/1932_United_States_presidential_election_in_Pennsylvania" xr:uid="{35784452-F5C9-43FF-884B-236B1EF12831}"/>
    <hyperlink ref="AB38" r:id="rId37" tooltip="1932 United States presidential election in Rhode Island" display="https://en.wikipedia.org/wiki/1932_United_States_presidential_election_in_Rhode_Island" xr:uid="{167A06D5-880A-4762-ADA4-1A4BDFB7F126}"/>
    <hyperlink ref="AB39" r:id="rId38" tooltip="1932 United States presidential election in South Carolina" display="https://en.wikipedia.org/wiki/1932_United_States_presidential_election_in_South_Carolina" xr:uid="{C2D2D793-9FE4-476D-A07F-3FA5788B7427}"/>
    <hyperlink ref="AB40" r:id="rId39" tooltip="1932 United States presidential election in South Dakota" display="https://en.wikipedia.org/wiki/1932_United_States_presidential_election_in_South_Dakota" xr:uid="{3E9BBCA5-4F34-463F-996E-D49D4B45CCE1}"/>
    <hyperlink ref="AB41" r:id="rId40" tooltip="1932 United States presidential election in Tennessee" display="https://en.wikipedia.org/wiki/1932_United_States_presidential_election_in_Tennessee" xr:uid="{6BE8C989-B15D-4240-994D-B8443278756E}"/>
    <hyperlink ref="AB42" r:id="rId41" tooltip="1932 United States presidential election in Texas" display="https://en.wikipedia.org/wiki/1932_United_States_presidential_election_in_Texas" xr:uid="{7BFF8303-DBA2-4750-96E1-A2F065C2EDA4}"/>
    <hyperlink ref="AB43" r:id="rId42" tooltip="1932 United States presidential election in Utah" display="https://en.wikipedia.org/wiki/1932_United_States_presidential_election_in_Utah" xr:uid="{70BB7DE4-CF9D-4344-A0F5-D67CD77A6345}"/>
    <hyperlink ref="AB44" r:id="rId43" tooltip="1932 United States presidential election in Vermont" display="https://en.wikipedia.org/wiki/1932_United_States_presidential_election_in_Vermont" xr:uid="{3C7A66C2-63EF-4820-A719-5B2CE6DED4BB}"/>
    <hyperlink ref="AB45" r:id="rId44" tooltip="1932 United States presidential election in Virginia" display="https://en.wikipedia.org/wiki/1932_United_States_presidential_election_in_Virginia" xr:uid="{2C94335B-F589-4885-8778-4D41492D4C5A}"/>
    <hyperlink ref="AB46" r:id="rId45" tooltip="1932 United States presidential election in Washington (state)" display="https://en.wikipedia.org/wiki/1932_United_States_presidential_election_in_Washington_(state)" xr:uid="{3F89E987-E2B5-49FE-9D39-EAB2C04D1BEC}"/>
    <hyperlink ref="AB47" r:id="rId46" tooltip="1932 United States presidential election in West Virginia" display="https://en.wikipedia.org/wiki/1932_United_States_presidential_election_in_West_Virginia" xr:uid="{70BA65BC-7600-4F8A-A800-CC539FE3229B}"/>
    <hyperlink ref="AB48" r:id="rId47" tooltip="1932 United States presidential election in Wisconsin" display="https://en.wikipedia.org/wiki/1932_United_States_presidential_election_in_Wisconsin" xr:uid="{5C983503-3FDB-4461-BEF1-04CE9DF07668}"/>
    <hyperlink ref="AB49" r:id="rId48" tooltip="1932 United States presidential election in Wyoming" display="https://en.wikipedia.org/wiki/1932_United_States_presidential_election_in_Wyoming" xr:uid="{D1C3265D-5887-4354-857A-23FC91BECA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651A-DC23-4A49-8212-3B0286CB0322}">
  <dimension ref="A1:BD57"/>
  <sheetViews>
    <sheetView workbookViewId="0">
      <pane xSplit="2" ySplit="2" topLeftCell="C3" activePane="bottomRight" state="frozen"/>
      <selection pane="bottomRight" activeCell="AA15" sqref="AA15"/>
      <selection pane="bottomLeft" activeCell="A3" sqref="A3"/>
      <selection pane="topRight" activeCell="C1" sqref="C1"/>
    </sheetView>
  </sheetViews>
  <sheetFormatPr defaultColWidth="8.85546875" defaultRowHeight="15"/>
  <cols>
    <col min="2" max="2" width="49.7109375" customWidth="1"/>
    <col min="3" max="3" width="9.140625" style="4"/>
    <col min="11" max="11" width="9.140625" style="4"/>
    <col min="33" max="34" width="9.140625" style="4"/>
    <col min="35" max="35" width="14" customWidth="1"/>
    <col min="37" max="37" width="11" customWidth="1"/>
    <col min="40" max="40" width="12.140625" customWidth="1"/>
    <col min="52" max="52" width="9.42578125" customWidth="1"/>
    <col min="54" max="54" width="11.85546875" customWidth="1"/>
  </cols>
  <sheetData>
    <row r="1" spans="1:56" ht="26.25" thickBot="1">
      <c r="C1" s="4" t="s">
        <v>247</v>
      </c>
      <c r="D1" s="68" t="s">
        <v>248</v>
      </c>
      <c r="E1" s="68"/>
      <c r="F1" s="68"/>
      <c r="G1" s="68"/>
      <c r="H1" s="68"/>
      <c r="I1" s="68"/>
      <c r="K1" s="4" t="s">
        <v>249</v>
      </c>
      <c r="L1" s="68" t="s">
        <v>248</v>
      </c>
      <c r="M1" s="68"/>
      <c r="N1" s="68"/>
      <c r="O1" s="68"/>
      <c r="P1" s="68"/>
      <c r="Q1" s="68"/>
      <c r="S1" s="4" t="s">
        <v>250</v>
      </c>
      <c r="T1" s="68" t="s">
        <v>248</v>
      </c>
      <c r="U1" s="68"/>
      <c r="V1" s="68"/>
      <c r="W1" s="68"/>
      <c r="X1" s="68"/>
      <c r="Y1" s="68"/>
      <c r="AA1" s="68" t="s">
        <v>251</v>
      </c>
      <c r="AB1" s="68"/>
      <c r="AC1" s="68"/>
      <c r="AD1" s="68"/>
      <c r="AE1" s="68"/>
      <c r="AG1" s="4" t="s">
        <v>252</v>
      </c>
      <c r="AI1" s="44" t="s">
        <v>253</v>
      </c>
      <c r="AJ1" s="44" t="s">
        <v>20</v>
      </c>
      <c r="AK1" s="50" t="s">
        <v>254</v>
      </c>
      <c r="AL1" s="44" t="s">
        <v>22</v>
      </c>
      <c r="AM1" s="44" t="s">
        <v>20</v>
      </c>
      <c r="AN1" s="50" t="s">
        <v>255</v>
      </c>
      <c r="AO1" s="44" t="s">
        <v>22</v>
      </c>
      <c r="AP1" s="44" t="s">
        <v>20</v>
      </c>
      <c r="AQ1" s="44" t="s">
        <v>250</v>
      </c>
      <c r="AR1" s="44" t="s">
        <v>22</v>
      </c>
      <c r="AS1" s="44" t="s">
        <v>20</v>
      </c>
      <c r="AT1" s="44" t="s">
        <v>143</v>
      </c>
      <c r="AU1" s="44" t="s">
        <v>22</v>
      </c>
      <c r="AV1" s="44" t="s">
        <v>20</v>
      </c>
      <c r="AW1" s="44" t="s">
        <v>217</v>
      </c>
      <c r="AX1" s="44" t="s">
        <v>22</v>
      </c>
      <c r="AY1" s="44" t="s">
        <v>20</v>
      </c>
      <c r="AZ1" s="44" t="s">
        <v>28</v>
      </c>
      <c r="BA1" s="44" t="s">
        <v>22</v>
      </c>
      <c r="BB1" s="44" t="s">
        <v>218</v>
      </c>
      <c r="BC1" s="44" t="s">
        <v>146</v>
      </c>
    </row>
    <row r="2" spans="1:56" ht="15.75" thickBot="1">
      <c r="A2" t="s">
        <v>146</v>
      </c>
      <c r="B2" t="s">
        <v>256</v>
      </c>
      <c r="C2" s="4" t="s">
        <v>255</v>
      </c>
      <c r="D2" t="s">
        <v>148</v>
      </c>
      <c r="E2" t="s">
        <v>149</v>
      </c>
      <c r="F2" t="s">
        <v>150</v>
      </c>
      <c r="G2" t="s">
        <v>257</v>
      </c>
      <c r="H2" t="s">
        <v>221</v>
      </c>
      <c r="I2" t="s">
        <v>258</v>
      </c>
      <c r="K2" s="4" t="s">
        <v>259</v>
      </c>
      <c r="L2" t="s">
        <v>148</v>
      </c>
      <c r="M2" t="s">
        <v>149</v>
      </c>
      <c r="N2" t="s">
        <v>150</v>
      </c>
      <c r="O2" t="s">
        <v>257</v>
      </c>
      <c r="P2" t="s">
        <v>260</v>
      </c>
      <c r="Q2" t="s">
        <v>258</v>
      </c>
      <c r="S2" s="4" t="s">
        <v>261</v>
      </c>
      <c r="T2" t="s">
        <v>148</v>
      </c>
      <c r="U2" t="s">
        <v>149</v>
      </c>
      <c r="V2" t="s">
        <v>150</v>
      </c>
      <c r="W2" t="s">
        <v>257</v>
      </c>
      <c r="X2" t="s">
        <v>221</v>
      </c>
      <c r="Y2" t="s">
        <v>258</v>
      </c>
      <c r="AA2" t="s">
        <v>222</v>
      </c>
      <c r="AB2" t="s">
        <v>262</v>
      </c>
      <c r="AC2" t="s">
        <v>263</v>
      </c>
      <c r="AD2" t="s">
        <v>264</v>
      </c>
      <c r="AE2" t="s">
        <v>257</v>
      </c>
      <c r="AF2" t="s">
        <v>228</v>
      </c>
      <c r="AG2" s="4" t="s">
        <v>157</v>
      </c>
      <c r="AI2" s="26" t="s">
        <v>31</v>
      </c>
      <c r="AJ2" s="35">
        <v>11</v>
      </c>
      <c r="AK2" s="51">
        <v>238136</v>
      </c>
      <c r="AL2" s="37">
        <v>86.38</v>
      </c>
      <c r="AM2" s="37">
        <v>11</v>
      </c>
      <c r="AN2" s="51">
        <v>35358</v>
      </c>
      <c r="AO2" s="37">
        <v>12.82</v>
      </c>
      <c r="AP2" s="37" t="s">
        <v>32</v>
      </c>
      <c r="AQ2" s="37">
        <v>551</v>
      </c>
      <c r="AR2" s="37">
        <v>0.2</v>
      </c>
      <c r="AS2" s="37" t="s">
        <v>32</v>
      </c>
      <c r="AT2" s="37">
        <v>242</v>
      </c>
      <c r="AU2" s="37">
        <v>0.09</v>
      </c>
      <c r="AV2" s="37" t="s">
        <v>32</v>
      </c>
      <c r="AW2" s="36">
        <v>1397</v>
      </c>
      <c r="AX2" s="37">
        <v>0.51</v>
      </c>
      <c r="AY2" s="37" t="s">
        <v>32</v>
      </c>
      <c r="AZ2" s="36">
        <v>202838</v>
      </c>
      <c r="BA2" s="37">
        <v>73.56</v>
      </c>
      <c r="BB2" s="36">
        <v>275244</v>
      </c>
      <c r="BC2" s="37" t="s">
        <v>33</v>
      </c>
      <c r="BD2" t="s">
        <v>265</v>
      </c>
    </row>
    <row r="3" spans="1:56" ht="15.75" thickBot="1">
      <c r="A3" t="s">
        <v>31</v>
      </c>
      <c r="B3">
        <v>11</v>
      </c>
      <c r="C3" s="34">
        <v>3060</v>
      </c>
      <c r="D3" s="1">
        <v>1218</v>
      </c>
      <c r="E3" s="1">
        <v>1298</v>
      </c>
      <c r="F3">
        <v>3</v>
      </c>
      <c r="G3">
        <v>3</v>
      </c>
      <c r="H3">
        <v>412</v>
      </c>
      <c r="I3">
        <v>126</v>
      </c>
      <c r="K3" s="34">
        <v>10082</v>
      </c>
      <c r="L3">
        <v>371</v>
      </c>
      <c r="M3" s="1">
        <v>8530</v>
      </c>
      <c r="N3">
        <v>50</v>
      </c>
      <c r="O3">
        <v>1</v>
      </c>
      <c r="P3">
        <v>736</v>
      </c>
      <c r="Q3">
        <v>394</v>
      </c>
      <c r="S3">
        <v>68</v>
      </c>
      <c r="T3">
        <v>5</v>
      </c>
      <c r="U3">
        <v>49</v>
      </c>
      <c r="V3">
        <v>4</v>
      </c>
      <c r="W3">
        <v>0</v>
      </c>
      <c r="X3">
        <v>4</v>
      </c>
      <c r="Y3">
        <v>6</v>
      </c>
      <c r="AA3">
        <v>33</v>
      </c>
      <c r="AB3">
        <v>3</v>
      </c>
      <c r="AC3">
        <v>27</v>
      </c>
      <c r="AD3">
        <v>0</v>
      </c>
      <c r="AE3">
        <v>0</v>
      </c>
      <c r="AF3">
        <f>SUM(AA3:AE3)</f>
        <v>63</v>
      </c>
      <c r="AG3" s="4">
        <v>13273</v>
      </c>
      <c r="AH3" s="34"/>
      <c r="AI3" s="26" t="s">
        <v>34</v>
      </c>
      <c r="AJ3" s="35">
        <v>3</v>
      </c>
      <c r="AK3" s="51">
        <v>86722</v>
      </c>
      <c r="AL3" s="37">
        <v>69.849999999999994</v>
      </c>
      <c r="AM3" s="37">
        <v>3</v>
      </c>
      <c r="AN3" s="51">
        <v>33433</v>
      </c>
      <c r="AO3" s="37">
        <v>26.93</v>
      </c>
      <c r="AP3" s="37" t="s">
        <v>32</v>
      </c>
      <c r="AQ3" s="36">
        <v>3307</v>
      </c>
      <c r="AR3" s="37">
        <v>2.66</v>
      </c>
      <c r="AS3" s="37" t="s">
        <v>32</v>
      </c>
      <c r="AT3" s="37">
        <v>317</v>
      </c>
      <c r="AU3" s="37">
        <v>0.26</v>
      </c>
      <c r="AV3" s="37" t="s">
        <v>32</v>
      </c>
      <c r="AW3" s="37">
        <v>384</v>
      </c>
      <c r="AX3" s="37">
        <v>0.31</v>
      </c>
      <c r="AY3" s="37" t="s">
        <v>32</v>
      </c>
      <c r="AZ3" s="36">
        <v>53289</v>
      </c>
      <c r="BA3" s="37">
        <v>42.92</v>
      </c>
      <c r="BB3" s="36">
        <v>124163</v>
      </c>
      <c r="BC3" s="37" t="s">
        <v>35</v>
      </c>
    </row>
    <row r="4" spans="1:56" ht="15.75" thickBot="1">
      <c r="A4" t="s">
        <v>34</v>
      </c>
      <c r="B4">
        <v>3</v>
      </c>
      <c r="C4" s="34">
        <v>2337</v>
      </c>
      <c r="D4" s="1">
        <v>1431</v>
      </c>
      <c r="E4">
        <v>647</v>
      </c>
      <c r="F4">
        <v>18</v>
      </c>
      <c r="G4">
        <v>0</v>
      </c>
      <c r="H4">
        <v>129</v>
      </c>
      <c r="I4">
        <v>112</v>
      </c>
      <c r="K4" s="34">
        <v>1975</v>
      </c>
      <c r="L4">
        <v>248</v>
      </c>
      <c r="M4" s="1">
        <v>1555</v>
      </c>
      <c r="N4">
        <v>33</v>
      </c>
      <c r="O4">
        <v>0</v>
      </c>
      <c r="P4">
        <v>70</v>
      </c>
      <c r="Q4">
        <v>69</v>
      </c>
      <c r="S4">
        <v>104</v>
      </c>
      <c r="T4">
        <v>22</v>
      </c>
      <c r="U4">
        <v>52</v>
      </c>
      <c r="V4">
        <v>8</v>
      </c>
      <c r="W4">
        <v>0</v>
      </c>
      <c r="X4">
        <v>10</v>
      </c>
      <c r="Y4">
        <v>12</v>
      </c>
      <c r="AA4">
        <v>22</v>
      </c>
      <c r="AB4">
        <v>24</v>
      </c>
      <c r="AC4">
        <v>14</v>
      </c>
      <c r="AD4">
        <v>0</v>
      </c>
      <c r="AE4">
        <v>0</v>
      </c>
      <c r="AF4">
        <f t="shared" ref="AF4:AF51" si="0">SUM(AA4:AE4)</f>
        <v>60</v>
      </c>
      <c r="AG4" s="4">
        <v>4476</v>
      </c>
      <c r="AH4" s="34"/>
      <c r="AI4" s="26" t="s">
        <v>36</v>
      </c>
      <c r="AJ4" s="35">
        <v>9</v>
      </c>
      <c r="AK4" s="51">
        <v>146765</v>
      </c>
      <c r="AL4" s="37">
        <v>81.8</v>
      </c>
      <c r="AM4" s="37">
        <v>9</v>
      </c>
      <c r="AN4" s="51">
        <v>32039</v>
      </c>
      <c r="AO4" s="37">
        <v>17.86</v>
      </c>
      <c r="AP4" s="37" t="s">
        <v>32</v>
      </c>
      <c r="AQ4" s="37">
        <v>4</v>
      </c>
      <c r="AR4" s="37">
        <v>0</v>
      </c>
      <c r="AS4" s="37" t="s">
        <v>32</v>
      </c>
      <c r="AT4" s="37">
        <v>446</v>
      </c>
      <c r="AU4" s="37">
        <v>0.25</v>
      </c>
      <c r="AV4" s="37" t="s">
        <v>32</v>
      </c>
      <c r="AW4" s="37">
        <v>169</v>
      </c>
      <c r="AX4" s="37">
        <v>0.09</v>
      </c>
      <c r="AY4" s="37" t="s">
        <v>32</v>
      </c>
      <c r="AZ4" s="36">
        <v>114726</v>
      </c>
      <c r="BA4" s="37">
        <v>63.94</v>
      </c>
      <c r="BB4" s="36">
        <v>179423</v>
      </c>
      <c r="BC4" s="37" t="s">
        <v>37</v>
      </c>
    </row>
    <row r="5" spans="1:56" ht="15.75" thickBot="1">
      <c r="A5" t="s">
        <v>36</v>
      </c>
      <c r="B5">
        <v>9</v>
      </c>
      <c r="C5" s="34">
        <v>2724</v>
      </c>
      <c r="D5" s="1">
        <v>1338</v>
      </c>
      <c r="E5">
        <v>953</v>
      </c>
      <c r="F5">
        <v>7</v>
      </c>
      <c r="G5">
        <v>9</v>
      </c>
      <c r="H5">
        <v>274</v>
      </c>
      <c r="I5">
        <v>143</v>
      </c>
      <c r="K5" s="34">
        <v>7608</v>
      </c>
      <c r="L5">
        <v>228</v>
      </c>
      <c r="M5" s="1">
        <v>6655</v>
      </c>
      <c r="N5">
        <v>16</v>
      </c>
      <c r="O5">
        <v>8</v>
      </c>
      <c r="P5">
        <v>373</v>
      </c>
      <c r="Q5">
        <v>328</v>
      </c>
      <c r="S5">
        <v>138</v>
      </c>
      <c r="T5">
        <v>14</v>
      </c>
      <c r="U5">
        <v>98</v>
      </c>
      <c r="V5">
        <v>4</v>
      </c>
      <c r="W5">
        <v>3</v>
      </c>
      <c r="X5">
        <v>9</v>
      </c>
      <c r="Y5">
        <v>10</v>
      </c>
      <c r="AA5">
        <v>37</v>
      </c>
      <c r="AB5">
        <v>5</v>
      </c>
      <c r="AC5">
        <v>21</v>
      </c>
      <c r="AD5">
        <v>2</v>
      </c>
      <c r="AE5">
        <v>5</v>
      </c>
      <c r="AF5">
        <f t="shared" si="0"/>
        <v>70</v>
      </c>
      <c r="AG5" s="4">
        <v>10540</v>
      </c>
      <c r="AH5" s="34"/>
      <c r="AI5" s="26" t="s">
        <v>38</v>
      </c>
      <c r="AJ5" s="35">
        <v>22</v>
      </c>
      <c r="AK5" s="51">
        <v>1766836</v>
      </c>
      <c r="AL5" s="37">
        <v>66.95</v>
      </c>
      <c r="AM5" s="37">
        <v>22</v>
      </c>
      <c r="AN5" s="51">
        <v>836431</v>
      </c>
      <c r="AO5" s="37">
        <v>31.7</v>
      </c>
      <c r="AP5" s="37" t="s">
        <v>32</v>
      </c>
      <c r="AQ5" s="37" t="s">
        <v>32</v>
      </c>
      <c r="AR5" s="37" t="s">
        <v>32</v>
      </c>
      <c r="AS5" s="37" t="s">
        <v>32</v>
      </c>
      <c r="AT5" s="36">
        <v>11331</v>
      </c>
      <c r="AU5" s="37">
        <v>0.43</v>
      </c>
      <c r="AV5" s="37" t="s">
        <v>32</v>
      </c>
      <c r="AW5" s="36">
        <v>24284</v>
      </c>
      <c r="AX5" s="37">
        <v>0.92</v>
      </c>
      <c r="AY5" s="37" t="s">
        <v>32</v>
      </c>
      <c r="AZ5" s="36">
        <v>930405</v>
      </c>
      <c r="BA5" s="37">
        <v>35.26</v>
      </c>
      <c r="BB5" s="36">
        <v>2638882</v>
      </c>
      <c r="BC5" s="37" t="s">
        <v>39</v>
      </c>
    </row>
    <row r="6" spans="1:56" ht="15.75" thickBot="1">
      <c r="A6" t="s">
        <v>38</v>
      </c>
      <c r="B6">
        <v>22</v>
      </c>
      <c r="C6" s="34">
        <v>89516</v>
      </c>
      <c r="D6" s="1">
        <v>65360</v>
      </c>
      <c r="E6" s="1">
        <v>16200</v>
      </c>
      <c r="F6">
        <v>315</v>
      </c>
      <c r="G6">
        <v>53</v>
      </c>
      <c r="H6" s="1">
        <v>3519</v>
      </c>
      <c r="I6" s="1">
        <v>4069</v>
      </c>
      <c r="K6" s="34">
        <v>77245</v>
      </c>
      <c r="L6">
        <v>15165</v>
      </c>
      <c r="M6">
        <v>53520</v>
      </c>
      <c r="N6" s="1">
        <v>1816</v>
      </c>
      <c r="O6">
        <v>63</v>
      </c>
      <c r="P6" s="1">
        <v>3578</v>
      </c>
      <c r="Q6" s="1">
        <v>3103</v>
      </c>
      <c r="S6" s="1">
        <v>4977</v>
      </c>
      <c r="T6" s="1">
        <v>1620</v>
      </c>
      <c r="U6" s="1">
        <v>2560</v>
      </c>
      <c r="V6">
        <v>117</v>
      </c>
      <c r="W6">
        <v>25</v>
      </c>
      <c r="X6">
        <v>163</v>
      </c>
      <c r="Y6">
        <v>492</v>
      </c>
      <c r="AA6">
        <v>728</v>
      </c>
      <c r="AB6">
        <v>967</v>
      </c>
      <c r="AC6">
        <v>398</v>
      </c>
      <c r="AD6">
        <v>44</v>
      </c>
      <c r="AE6">
        <v>60</v>
      </c>
      <c r="AF6">
        <f t="shared" si="0"/>
        <v>2197</v>
      </c>
      <c r="AG6" s="4">
        <v>173935</v>
      </c>
      <c r="AH6" s="34"/>
      <c r="AI6" s="26" t="s">
        <v>40</v>
      </c>
      <c r="AJ6" s="35">
        <v>6</v>
      </c>
      <c r="AK6" s="51">
        <v>295021</v>
      </c>
      <c r="AL6" s="37">
        <v>60.37</v>
      </c>
      <c r="AM6" s="37">
        <v>6</v>
      </c>
      <c r="AN6" s="51">
        <v>181267</v>
      </c>
      <c r="AO6" s="37">
        <v>37.090000000000003</v>
      </c>
      <c r="AP6" s="37" t="s">
        <v>32</v>
      </c>
      <c r="AQ6" s="36">
        <v>9962</v>
      </c>
      <c r="AR6" s="37">
        <v>2.04</v>
      </c>
      <c r="AS6" s="37" t="s">
        <v>32</v>
      </c>
      <c r="AT6" s="36">
        <v>1593</v>
      </c>
      <c r="AU6" s="37">
        <v>0.33</v>
      </c>
      <c r="AV6" s="37" t="s">
        <v>32</v>
      </c>
      <c r="AW6" s="37">
        <v>841</v>
      </c>
      <c r="AX6" s="37">
        <v>0.17</v>
      </c>
      <c r="AY6" s="37" t="s">
        <v>32</v>
      </c>
      <c r="AZ6" s="36">
        <v>113754</v>
      </c>
      <c r="BA6" s="37">
        <v>23.28</v>
      </c>
      <c r="BB6" s="36">
        <v>488684</v>
      </c>
      <c r="BC6" s="37" t="s">
        <v>41</v>
      </c>
    </row>
    <row r="7" spans="1:56" ht="15.75" thickBot="1">
      <c r="A7" t="s">
        <v>40</v>
      </c>
      <c r="B7">
        <v>6</v>
      </c>
      <c r="C7" s="34">
        <v>15949</v>
      </c>
      <c r="D7" s="1">
        <v>11872</v>
      </c>
      <c r="E7" s="1">
        <v>2714</v>
      </c>
      <c r="F7">
        <v>131</v>
      </c>
      <c r="G7">
        <v>12</v>
      </c>
      <c r="H7">
        <v>637</v>
      </c>
      <c r="I7">
        <v>583</v>
      </c>
      <c r="K7" s="34">
        <v>10025</v>
      </c>
      <c r="L7" s="1">
        <v>1747</v>
      </c>
      <c r="M7" s="1">
        <v>7256</v>
      </c>
      <c r="N7">
        <v>284</v>
      </c>
      <c r="O7">
        <v>13</v>
      </c>
      <c r="P7">
        <v>439</v>
      </c>
      <c r="Q7">
        <v>286</v>
      </c>
      <c r="S7">
        <v>579</v>
      </c>
      <c r="T7">
        <v>136</v>
      </c>
      <c r="U7">
        <v>333</v>
      </c>
      <c r="V7">
        <v>29</v>
      </c>
      <c r="W7">
        <v>2</v>
      </c>
      <c r="X7">
        <v>26</v>
      </c>
      <c r="Y7">
        <v>53</v>
      </c>
      <c r="AA7">
        <v>122</v>
      </c>
      <c r="AB7">
        <v>49</v>
      </c>
      <c r="AC7">
        <v>41</v>
      </c>
      <c r="AD7">
        <v>10</v>
      </c>
      <c r="AE7">
        <v>11</v>
      </c>
      <c r="AF7">
        <f t="shared" si="0"/>
        <v>233</v>
      </c>
      <c r="AG7" s="4">
        <v>26786</v>
      </c>
      <c r="AH7" s="34"/>
      <c r="AI7" s="26" t="s">
        <v>42</v>
      </c>
      <c r="AJ7" s="35">
        <v>8</v>
      </c>
      <c r="AK7" s="51">
        <v>382129</v>
      </c>
      <c r="AL7" s="37">
        <v>55.32</v>
      </c>
      <c r="AM7" s="37">
        <v>8</v>
      </c>
      <c r="AN7" s="51">
        <v>278685</v>
      </c>
      <c r="AO7" s="37">
        <v>40.35</v>
      </c>
      <c r="AP7" s="37" t="s">
        <v>32</v>
      </c>
      <c r="AQ7" s="36">
        <v>21805</v>
      </c>
      <c r="AR7" s="37">
        <v>3.16</v>
      </c>
      <c r="AS7" s="37" t="s">
        <v>32</v>
      </c>
      <c r="AT7" s="36">
        <v>5683</v>
      </c>
      <c r="AU7" s="37">
        <v>0.82</v>
      </c>
      <c r="AV7" s="37" t="s">
        <v>32</v>
      </c>
      <c r="AW7" s="36">
        <v>2421</v>
      </c>
      <c r="AX7" s="37">
        <v>0.35</v>
      </c>
      <c r="AY7" s="37" t="s">
        <v>32</v>
      </c>
      <c r="AZ7" s="36">
        <v>103444</v>
      </c>
      <c r="BA7" s="37">
        <v>14.98</v>
      </c>
      <c r="BB7" s="36">
        <v>690723</v>
      </c>
      <c r="BC7" s="37" t="s">
        <v>43</v>
      </c>
    </row>
    <row r="8" spans="1:56" ht="15.75" thickBot="1">
      <c r="A8" t="s">
        <v>42</v>
      </c>
      <c r="B8">
        <v>8</v>
      </c>
      <c r="C8" s="34">
        <v>28809</v>
      </c>
      <c r="D8" s="1">
        <v>22939</v>
      </c>
      <c r="E8" s="1">
        <v>3376</v>
      </c>
      <c r="F8">
        <v>111</v>
      </c>
      <c r="G8">
        <v>7</v>
      </c>
      <c r="H8" s="1">
        <v>1230</v>
      </c>
      <c r="I8" s="1">
        <v>1146</v>
      </c>
      <c r="K8" s="34">
        <v>13413</v>
      </c>
      <c r="L8" s="1">
        <v>2584</v>
      </c>
      <c r="M8" s="1">
        <v>9113</v>
      </c>
      <c r="N8">
        <v>408</v>
      </c>
      <c r="O8">
        <v>6</v>
      </c>
      <c r="P8">
        <v>788</v>
      </c>
      <c r="Q8">
        <v>514</v>
      </c>
      <c r="S8">
        <v>1489</v>
      </c>
      <c r="T8">
        <v>245</v>
      </c>
      <c r="U8">
        <v>1006</v>
      </c>
      <c r="V8">
        <v>53</v>
      </c>
      <c r="W8">
        <v>3</v>
      </c>
      <c r="X8">
        <v>70</v>
      </c>
      <c r="Y8">
        <v>112</v>
      </c>
      <c r="AA8">
        <v>258</v>
      </c>
      <c r="AB8">
        <v>101</v>
      </c>
      <c r="AC8">
        <v>39</v>
      </c>
      <c r="AD8">
        <v>31</v>
      </c>
      <c r="AE8">
        <v>11</v>
      </c>
      <c r="AF8">
        <f t="shared" si="0"/>
        <v>440</v>
      </c>
      <c r="AG8" s="4">
        <v>44151</v>
      </c>
      <c r="AH8" s="34"/>
      <c r="AI8" s="26" t="s">
        <v>44</v>
      </c>
      <c r="AJ8" s="35">
        <v>3</v>
      </c>
      <c r="AK8" s="51">
        <v>69702</v>
      </c>
      <c r="AL8" s="37">
        <v>54.62</v>
      </c>
      <c r="AM8" s="37">
        <v>3</v>
      </c>
      <c r="AN8" s="51">
        <v>57236</v>
      </c>
      <c r="AO8" s="37">
        <v>44.85</v>
      </c>
      <c r="AP8" s="37" t="s">
        <v>32</v>
      </c>
      <c r="AQ8" s="37">
        <v>442</v>
      </c>
      <c r="AR8" s="37">
        <v>0.35</v>
      </c>
      <c r="AS8" s="37" t="s">
        <v>32</v>
      </c>
      <c r="AT8" s="37">
        <v>172</v>
      </c>
      <c r="AU8" s="37">
        <v>0.13</v>
      </c>
      <c r="AV8" s="37" t="s">
        <v>32</v>
      </c>
      <c r="AW8" s="37">
        <v>51</v>
      </c>
      <c r="AX8" s="37">
        <v>0.04</v>
      </c>
      <c r="AY8" s="37" t="s">
        <v>32</v>
      </c>
      <c r="AZ8" s="36">
        <v>12466</v>
      </c>
      <c r="BA8" s="37">
        <v>9.77</v>
      </c>
      <c r="BB8" s="36">
        <v>127603</v>
      </c>
      <c r="BC8" s="37" t="s">
        <v>45</v>
      </c>
    </row>
    <row r="9" spans="1:56" ht="15.75" thickBot="1">
      <c r="A9" t="s">
        <v>44</v>
      </c>
      <c r="B9">
        <v>3</v>
      </c>
      <c r="C9" s="34">
        <v>2918</v>
      </c>
      <c r="D9" s="1">
        <v>2343</v>
      </c>
      <c r="E9">
        <v>328</v>
      </c>
      <c r="F9">
        <v>9</v>
      </c>
      <c r="G9">
        <v>0</v>
      </c>
      <c r="H9">
        <v>134</v>
      </c>
      <c r="I9">
        <v>104</v>
      </c>
      <c r="K9" s="34">
        <v>2048</v>
      </c>
      <c r="L9">
        <v>503</v>
      </c>
      <c r="M9" s="1">
        <v>1345</v>
      </c>
      <c r="N9">
        <v>34</v>
      </c>
      <c r="O9">
        <v>0</v>
      </c>
      <c r="P9">
        <v>96</v>
      </c>
      <c r="Q9">
        <v>70</v>
      </c>
      <c r="S9">
        <v>35</v>
      </c>
      <c r="T9">
        <v>6</v>
      </c>
      <c r="U9">
        <v>19</v>
      </c>
      <c r="V9">
        <v>3</v>
      </c>
      <c r="W9">
        <v>0</v>
      </c>
      <c r="X9">
        <v>2</v>
      </c>
      <c r="Y9">
        <v>5</v>
      </c>
      <c r="AA9">
        <v>16</v>
      </c>
      <c r="AB9">
        <v>2</v>
      </c>
      <c r="AC9">
        <v>8</v>
      </c>
      <c r="AD9">
        <v>0</v>
      </c>
      <c r="AE9">
        <v>1</v>
      </c>
      <c r="AF9">
        <f t="shared" si="0"/>
        <v>27</v>
      </c>
      <c r="AG9" s="4">
        <v>5028</v>
      </c>
      <c r="AH9" s="34"/>
      <c r="AI9" s="26" t="s">
        <v>47</v>
      </c>
      <c r="AJ9" s="35">
        <v>7</v>
      </c>
      <c r="AK9" s="51">
        <v>249117</v>
      </c>
      <c r="AL9" s="37">
        <v>76.099999999999994</v>
      </c>
      <c r="AM9" s="37">
        <v>7</v>
      </c>
      <c r="AN9" s="51">
        <v>78248</v>
      </c>
      <c r="AO9" s="37">
        <v>23.9</v>
      </c>
      <c r="AP9" s="37" t="s">
        <v>32</v>
      </c>
      <c r="AQ9" s="37" t="s">
        <v>32</v>
      </c>
      <c r="AR9" s="37" t="s">
        <v>32</v>
      </c>
      <c r="AS9" s="37" t="s">
        <v>32</v>
      </c>
      <c r="AT9" s="37" t="s">
        <v>32</v>
      </c>
      <c r="AU9" s="37" t="s">
        <v>32</v>
      </c>
      <c r="AV9" s="37" t="s">
        <v>32</v>
      </c>
      <c r="AW9" s="37" t="s">
        <v>32</v>
      </c>
      <c r="AX9" s="37" t="s">
        <v>32</v>
      </c>
      <c r="AY9" s="37" t="s">
        <v>32</v>
      </c>
      <c r="AZ9" s="36">
        <v>170869</v>
      </c>
      <c r="BA9" s="37">
        <v>52.2</v>
      </c>
      <c r="BB9" s="36">
        <v>327365</v>
      </c>
      <c r="BC9" s="37" t="s">
        <v>48</v>
      </c>
    </row>
    <row r="10" spans="1:56" ht="15.75" thickBot="1">
      <c r="A10" t="s">
        <v>47</v>
      </c>
      <c r="B10">
        <v>7</v>
      </c>
      <c r="C10" s="34">
        <v>6087</v>
      </c>
      <c r="D10" s="1">
        <v>3121</v>
      </c>
      <c r="E10" s="1">
        <v>2051</v>
      </c>
      <c r="F10">
        <v>13</v>
      </c>
      <c r="G10">
        <v>5</v>
      </c>
      <c r="H10">
        <v>594</v>
      </c>
      <c r="I10">
        <v>303</v>
      </c>
      <c r="K10" s="34">
        <v>8620</v>
      </c>
      <c r="L10">
        <v>635</v>
      </c>
      <c r="M10" s="1">
        <v>6924</v>
      </c>
      <c r="N10">
        <v>41</v>
      </c>
      <c r="O10">
        <v>0</v>
      </c>
      <c r="P10">
        <v>614</v>
      </c>
      <c r="Q10">
        <v>406</v>
      </c>
      <c r="S10">
        <v>195</v>
      </c>
      <c r="T10">
        <v>37</v>
      </c>
      <c r="U10">
        <v>116</v>
      </c>
      <c r="V10">
        <v>6</v>
      </c>
      <c r="W10">
        <v>2</v>
      </c>
      <c r="X10">
        <v>12</v>
      </c>
      <c r="Y10">
        <v>22</v>
      </c>
      <c r="AA10">
        <v>58</v>
      </c>
      <c r="AB10">
        <v>22</v>
      </c>
      <c r="AC10">
        <v>31</v>
      </c>
      <c r="AD10">
        <v>6</v>
      </c>
      <c r="AE10">
        <v>2</v>
      </c>
      <c r="AF10">
        <f t="shared" si="0"/>
        <v>119</v>
      </c>
      <c r="AG10" s="4">
        <v>15021</v>
      </c>
      <c r="AH10" s="34"/>
      <c r="AI10" s="26" t="s">
        <v>49</v>
      </c>
      <c r="AJ10" s="35">
        <v>12</v>
      </c>
      <c r="AK10" s="51">
        <v>255364</v>
      </c>
      <c r="AL10" s="37">
        <v>87.1</v>
      </c>
      <c r="AM10" s="37">
        <v>12</v>
      </c>
      <c r="AN10" s="51">
        <v>36942</v>
      </c>
      <c r="AO10" s="37">
        <v>12.6</v>
      </c>
      <c r="AP10" s="37" t="s">
        <v>32</v>
      </c>
      <c r="AQ10" s="37">
        <v>141</v>
      </c>
      <c r="AR10" s="37">
        <v>0.05</v>
      </c>
      <c r="AS10" s="37" t="s">
        <v>32</v>
      </c>
      <c r="AT10" s="37">
        <v>68</v>
      </c>
      <c r="AU10" s="37">
        <v>0.02</v>
      </c>
      <c r="AV10" s="37" t="s">
        <v>32</v>
      </c>
      <c r="AW10" s="37">
        <v>660</v>
      </c>
      <c r="AX10" s="37">
        <v>0.23</v>
      </c>
      <c r="AY10" s="37" t="s">
        <v>32</v>
      </c>
      <c r="AZ10" s="36">
        <v>218422</v>
      </c>
      <c r="BA10" s="37">
        <v>74.5</v>
      </c>
      <c r="BB10" s="36">
        <v>293175</v>
      </c>
      <c r="BC10" s="37" t="s">
        <v>50</v>
      </c>
    </row>
    <row r="11" spans="1:56" ht="15.75" thickBot="1">
      <c r="A11" t="s">
        <v>49</v>
      </c>
      <c r="B11">
        <v>12</v>
      </c>
      <c r="C11" s="34">
        <v>3948</v>
      </c>
      <c r="D11" s="1">
        <v>1239</v>
      </c>
      <c r="E11" s="1">
        <v>1817</v>
      </c>
      <c r="F11">
        <v>5</v>
      </c>
      <c r="G11">
        <v>11</v>
      </c>
      <c r="H11">
        <v>708</v>
      </c>
      <c r="I11">
        <v>168</v>
      </c>
      <c r="K11" s="34">
        <v>12915</v>
      </c>
      <c r="L11">
        <v>379</v>
      </c>
      <c r="M11" s="1">
        <v>10377</v>
      </c>
      <c r="N11">
        <v>42</v>
      </c>
      <c r="O11">
        <v>9</v>
      </c>
      <c r="P11" s="1">
        <v>1569</v>
      </c>
      <c r="Q11">
        <v>539</v>
      </c>
      <c r="S11">
        <v>35</v>
      </c>
      <c r="T11">
        <v>3</v>
      </c>
      <c r="U11">
        <v>23</v>
      </c>
      <c r="V11">
        <v>1</v>
      </c>
      <c r="W11">
        <v>0</v>
      </c>
      <c r="X11">
        <v>6</v>
      </c>
      <c r="Y11">
        <v>2</v>
      </c>
      <c r="AA11">
        <v>45</v>
      </c>
      <c r="AB11">
        <v>12</v>
      </c>
      <c r="AC11">
        <v>27</v>
      </c>
      <c r="AD11">
        <v>0</v>
      </c>
      <c r="AE11">
        <v>17</v>
      </c>
      <c r="AF11">
        <f t="shared" si="0"/>
        <v>101</v>
      </c>
      <c r="AG11" s="4">
        <v>16999</v>
      </c>
      <c r="AH11" s="34"/>
      <c r="AI11" s="26" t="s">
        <v>51</v>
      </c>
      <c r="AJ11" s="35">
        <v>4</v>
      </c>
      <c r="AK11" s="51">
        <v>125683</v>
      </c>
      <c r="AL11" s="37">
        <v>62.96</v>
      </c>
      <c r="AM11" s="37">
        <v>4</v>
      </c>
      <c r="AN11" s="51">
        <v>66256</v>
      </c>
      <c r="AO11" s="37">
        <v>33.19</v>
      </c>
      <c r="AP11" s="37" t="s">
        <v>32</v>
      </c>
      <c r="AQ11" s="36">
        <v>7678</v>
      </c>
      <c r="AR11" s="37">
        <v>3.85</v>
      </c>
      <c r="AS11" s="37" t="s">
        <v>32</v>
      </c>
      <c r="AT11" s="37" t="s">
        <v>32</v>
      </c>
      <c r="AU11" s="37" t="s">
        <v>32</v>
      </c>
      <c r="AV11" s="37" t="s">
        <v>32</v>
      </c>
      <c r="AW11" s="37" t="s">
        <v>32</v>
      </c>
      <c r="AX11" s="37" t="s">
        <v>32</v>
      </c>
      <c r="AY11" s="37" t="s">
        <v>32</v>
      </c>
      <c r="AZ11" s="36">
        <v>59427</v>
      </c>
      <c r="BA11" s="37">
        <v>29.77</v>
      </c>
      <c r="BB11" s="36">
        <v>199617</v>
      </c>
      <c r="BC11" s="37" t="s">
        <v>52</v>
      </c>
    </row>
    <row r="12" spans="1:56" ht="15.75" thickBot="1">
      <c r="A12" t="s">
        <v>51</v>
      </c>
      <c r="B12">
        <v>4</v>
      </c>
      <c r="C12" s="34">
        <v>3653</v>
      </c>
      <c r="D12" s="1">
        <v>2672</v>
      </c>
      <c r="E12">
        <v>698</v>
      </c>
      <c r="F12">
        <v>9</v>
      </c>
      <c r="G12">
        <v>8</v>
      </c>
      <c r="H12">
        <v>103</v>
      </c>
      <c r="I12">
        <v>163</v>
      </c>
      <c r="K12" s="34">
        <v>2611</v>
      </c>
      <c r="L12">
        <v>398</v>
      </c>
      <c r="M12" s="1">
        <v>1989</v>
      </c>
      <c r="N12">
        <v>30</v>
      </c>
      <c r="O12">
        <v>8</v>
      </c>
      <c r="P12">
        <v>89</v>
      </c>
      <c r="Q12">
        <v>97</v>
      </c>
      <c r="S12">
        <v>224</v>
      </c>
      <c r="T12">
        <v>69</v>
      </c>
      <c r="U12">
        <v>109</v>
      </c>
      <c r="V12">
        <v>8</v>
      </c>
      <c r="W12">
        <v>11</v>
      </c>
      <c r="X12">
        <v>9</v>
      </c>
      <c r="Y12">
        <v>18</v>
      </c>
      <c r="AA12">
        <v>34</v>
      </c>
      <c r="AB12">
        <v>3</v>
      </c>
      <c r="AC12">
        <v>17</v>
      </c>
      <c r="AD12">
        <v>1</v>
      </c>
      <c r="AE12">
        <v>3</v>
      </c>
      <c r="AF12">
        <f t="shared" si="0"/>
        <v>58</v>
      </c>
      <c r="AG12" s="4">
        <v>6546</v>
      </c>
      <c r="AH12" s="34"/>
      <c r="AI12" s="26" t="s">
        <v>53</v>
      </c>
      <c r="AJ12" s="35">
        <v>29</v>
      </c>
      <c r="AK12" s="51">
        <v>2282999</v>
      </c>
      <c r="AL12" s="37">
        <v>57.7</v>
      </c>
      <c r="AM12" s="37">
        <v>29</v>
      </c>
      <c r="AN12" s="51">
        <v>1570393</v>
      </c>
      <c r="AO12" s="37">
        <v>39.69</v>
      </c>
      <c r="AP12" s="37" t="s">
        <v>32</v>
      </c>
      <c r="AQ12" s="36">
        <v>89439</v>
      </c>
      <c r="AR12" s="37">
        <v>2.2599999999999998</v>
      </c>
      <c r="AS12" s="37" t="s">
        <v>32</v>
      </c>
      <c r="AT12" s="36">
        <v>7530</v>
      </c>
      <c r="AU12" s="37">
        <v>0.19</v>
      </c>
      <c r="AV12" s="37" t="s">
        <v>32</v>
      </c>
      <c r="AW12" s="36">
        <v>6161</v>
      </c>
      <c r="AX12" s="37">
        <v>0.16</v>
      </c>
      <c r="AY12" s="37" t="s">
        <v>32</v>
      </c>
      <c r="AZ12" s="36">
        <v>712606</v>
      </c>
      <c r="BA12" s="37">
        <v>18.010000000000002</v>
      </c>
      <c r="BB12" s="36">
        <v>3956522</v>
      </c>
      <c r="BC12" s="37" t="s">
        <v>54</v>
      </c>
    </row>
    <row r="13" spans="1:56" ht="15.75" thickBot="1">
      <c r="A13" t="s">
        <v>53</v>
      </c>
      <c r="B13">
        <v>29</v>
      </c>
      <c r="C13" s="34">
        <v>123297</v>
      </c>
      <c r="D13" s="1">
        <v>85112</v>
      </c>
      <c r="E13" s="1">
        <v>25885</v>
      </c>
      <c r="F13">
        <v>573</v>
      </c>
      <c r="G13">
        <v>69</v>
      </c>
      <c r="H13">
        <v>6506</v>
      </c>
      <c r="I13" s="1">
        <v>5152</v>
      </c>
      <c r="K13" s="34">
        <v>79035</v>
      </c>
      <c r="L13" s="1">
        <v>14793</v>
      </c>
      <c r="M13" s="1">
        <v>54612</v>
      </c>
      <c r="N13" s="1">
        <v>1542</v>
      </c>
      <c r="O13">
        <v>57</v>
      </c>
      <c r="P13" s="1">
        <v>4790</v>
      </c>
      <c r="Q13" s="1">
        <v>3241</v>
      </c>
      <c r="S13" s="1">
        <v>6415</v>
      </c>
      <c r="T13" s="1">
        <v>1172</v>
      </c>
      <c r="U13" s="1">
        <v>4219</v>
      </c>
      <c r="V13">
        <v>169</v>
      </c>
      <c r="W13">
        <v>17</v>
      </c>
      <c r="X13">
        <v>304</v>
      </c>
      <c r="Y13">
        <v>534</v>
      </c>
      <c r="AA13">
        <v>807</v>
      </c>
      <c r="AB13">
        <v>891</v>
      </c>
      <c r="AC13">
        <v>199</v>
      </c>
      <c r="AD13">
        <v>52</v>
      </c>
      <c r="AE13">
        <v>38</v>
      </c>
      <c r="AF13">
        <f t="shared" si="0"/>
        <v>1987</v>
      </c>
      <c r="AG13" s="4">
        <v>210734</v>
      </c>
      <c r="AH13" s="34"/>
      <c r="AI13" s="26" t="s">
        <v>55</v>
      </c>
      <c r="AJ13" s="35">
        <v>14</v>
      </c>
      <c r="AK13" s="51">
        <v>934974</v>
      </c>
      <c r="AL13" s="37">
        <v>56.63</v>
      </c>
      <c r="AM13" s="37">
        <v>14</v>
      </c>
      <c r="AN13" s="51">
        <v>691570</v>
      </c>
      <c r="AO13" s="37">
        <v>41.89</v>
      </c>
      <c r="AP13" s="37" t="s">
        <v>32</v>
      </c>
      <c r="AQ13" s="36">
        <v>19407</v>
      </c>
      <c r="AR13" s="37">
        <v>1.18</v>
      </c>
      <c r="AS13" s="37" t="s">
        <v>32</v>
      </c>
      <c r="AT13" s="36">
        <v>3856</v>
      </c>
      <c r="AU13" s="37">
        <v>0.23</v>
      </c>
      <c r="AV13" s="37" t="s">
        <v>32</v>
      </c>
      <c r="AW13" s="36">
        <v>1090</v>
      </c>
      <c r="AX13" s="37">
        <v>7.0000000000000007E-2</v>
      </c>
      <c r="AY13" s="37" t="s">
        <v>32</v>
      </c>
      <c r="AZ13" s="36">
        <v>243404</v>
      </c>
      <c r="BA13" s="37">
        <v>14.74</v>
      </c>
      <c r="BB13" s="36">
        <v>1650897</v>
      </c>
      <c r="BC13" s="37" t="s">
        <v>56</v>
      </c>
    </row>
    <row r="14" spans="1:56" ht="15.75" thickBot="1">
      <c r="A14" t="s">
        <v>55</v>
      </c>
      <c r="B14">
        <v>14</v>
      </c>
      <c r="C14" s="34">
        <v>42805</v>
      </c>
      <c r="D14" s="1">
        <v>31913</v>
      </c>
      <c r="E14" s="1">
        <v>7644</v>
      </c>
      <c r="F14">
        <v>134</v>
      </c>
      <c r="G14">
        <v>49</v>
      </c>
      <c r="H14" s="1">
        <v>1290</v>
      </c>
      <c r="I14" s="1">
        <v>1775</v>
      </c>
      <c r="K14" s="34">
        <v>26663</v>
      </c>
      <c r="L14" s="1">
        <v>4513</v>
      </c>
      <c r="M14" s="1">
        <v>20247</v>
      </c>
      <c r="N14">
        <v>302</v>
      </c>
      <c r="O14">
        <v>22</v>
      </c>
      <c r="P14">
        <v>719</v>
      </c>
      <c r="Q14">
        <v>860</v>
      </c>
      <c r="S14" s="1">
        <v>2166</v>
      </c>
      <c r="T14">
        <v>476</v>
      </c>
      <c r="U14" s="1">
        <v>1352</v>
      </c>
      <c r="V14">
        <v>64</v>
      </c>
      <c r="W14">
        <v>11</v>
      </c>
      <c r="X14">
        <v>73</v>
      </c>
      <c r="Y14">
        <v>190</v>
      </c>
      <c r="AA14">
        <v>215</v>
      </c>
      <c r="AB14">
        <v>69</v>
      </c>
      <c r="AC14">
        <v>158</v>
      </c>
      <c r="AD14">
        <v>13</v>
      </c>
      <c r="AE14">
        <v>12</v>
      </c>
      <c r="AF14">
        <f t="shared" si="0"/>
        <v>467</v>
      </c>
      <c r="AG14" s="4">
        <v>72101</v>
      </c>
      <c r="AH14" s="34"/>
      <c r="AI14" s="26" t="s">
        <v>57</v>
      </c>
      <c r="AJ14" s="35">
        <v>11</v>
      </c>
      <c r="AK14" s="51">
        <v>621756</v>
      </c>
      <c r="AL14" s="37">
        <v>54.41</v>
      </c>
      <c r="AM14" s="37">
        <v>11</v>
      </c>
      <c r="AN14" s="51">
        <v>487977</v>
      </c>
      <c r="AO14" s="37">
        <v>42.7</v>
      </c>
      <c r="AP14" s="37" t="s">
        <v>32</v>
      </c>
      <c r="AQ14" s="36">
        <v>29687</v>
      </c>
      <c r="AR14" s="37">
        <v>2.6</v>
      </c>
      <c r="AS14" s="37" t="s">
        <v>32</v>
      </c>
      <c r="AT14" s="36">
        <v>1373</v>
      </c>
      <c r="AU14" s="37">
        <v>0.12</v>
      </c>
      <c r="AV14" s="37" t="s">
        <v>32</v>
      </c>
      <c r="AW14" s="36">
        <v>1940</v>
      </c>
      <c r="AX14" s="37">
        <v>0.17</v>
      </c>
      <c r="AY14" s="37" t="s">
        <v>32</v>
      </c>
      <c r="AZ14" s="36">
        <v>133779</v>
      </c>
      <c r="BA14" s="37">
        <v>11.71</v>
      </c>
      <c r="BB14" s="36">
        <v>1142733</v>
      </c>
      <c r="BC14" s="37" t="s">
        <v>58</v>
      </c>
    </row>
    <row r="15" spans="1:56" ht="15.75" thickBot="1">
      <c r="A15" t="s">
        <v>57</v>
      </c>
      <c r="B15">
        <v>11</v>
      </c>
      <c r="C15" s="34">
        <v>31871</v>
      </c>
      <c r="D15" s="1">
        <v>22823</v>
      </c>
      <c r="E15" s="1">
        <v>6164</v>
      </c>
      <c r="F15">
        <v>135</v>
      </c>
      <c r="G15">
        <v>26</v>
      </c>
      <c r="H15">
        <v>1272</v>
      </c>
      <c r="I15" s="1">
        <v>1451</v>
      </c>
      <c r="K15" s="34">
        <v>18614</v>
      </c>
      <c r="L15">
        <v>3190</v>
      </c>
      <c r="M15">
        <v>13611</v>
      </c>
      <c r="N15">
        <v>258</v>
      </c>
      <c r="O15">
        <v>14</v>
      </c>
      <c r="P15">
        <v>829</v>
      </c>
      <c r="Q15">
        <v>712</v>
      </c>
      <c r="S15" s="1">
        <v>2829</v>
      </c>
      <c r="T15">
        <v>560</v>
      </c>
      <c r="U15" s="1">
        <v>1831</v>
      </c>
      <c r="V15">
        <v>86</v>
      </c>
      <c r="W15">
        <v>11</v>
      </c>
      <c r="X15">
        <v>88</v>
      </c>
      <c r="Y15">
        <v>253</v>
      </c>
      <c r="AA15">
        <v>177</v>
      </c>
      <c r="AB15">
        <v>47</v>
      </c>
      <c r="AC15">
        <v>107</v>
      </c>
      <c r="AD15">
        <v>13</v>
      </c>
      <c r="AE15">
        <v>5</v>
      </c>
      <c r="AF15">
        <f t="shared" si="0"/>
        <v>349</v>
      </c>
      <c r="AG15" s="4">
        <v>53663</v>
      </c>
      <c r="AH15" s="34"/>
      <c r="AI15" s="26" t="s">
        <v>59</v>
      </c>
      <c r="AJ15" s="35">
        <v>9</v>
      </c>
      <c r="AK15" s="51">
        <v>464520</v>
      </c>
      <c r="AL15" s="37">
        <v>53.67</v>
      </c>
      <c r="AM15" s="37">
        <v>9</v>
      </c>
      <c r="AN15" s="51">
        <v>397727</v>
      </c>
      <c r="AO15" s="37">
        <v>45.95</v>
      </c>
      <c r="AP15" s="37" t="s">
        <v>32</v>
      </c>
      <c r="AQ15" s="37">
        <v>497</v>
      </c>
      <c r="AR15" s="37">
        <v>0.06</v>
      </c>
      <c r="AS15" s="37" t="s">
        <v>32</v>
      </c>
      <c r="AT15" s="36">
        <v>2770</v>
      </c>
      <c r="AU15" s="37">
        <v>0.32</v>
      </c>
      <c r="AV15" s="37" t="s">
        <v>32</v>
      </c>
      <c r="AW15" s="37" t="s">
        <v>32</v>
      </c>
      <c r="AX15" s="37" t="s">
        <v>32</v>
      </c>
      <c r="AY15" s="37" t="s">
        <v>32</v>
      </c>
      <c r="AZ15" s="36">
        <v>66793</v>
      </c>
      <c r="BA15" s="37">
        <v>7.72</v>
      </c>
      <c r="BB15" s="36">
        <v>865014</v>
      </c>
      <c r="BC15" s="37" t="s">
        <v>60</v>
      </c>
    </row>
    <row r="16" spans="1:56" ht="15.75" thickBot="1">
      <c r="A16" t="s">
        <v>59</v>
      </c>
      <c r="B16">
        <v>9</v>
      </c>
      <c r="C16" s="34">
        <v>35408</v>
      </c>
      <c r="D16" s="1">
        <v>25315</v>
      </c>
      <c r="E16">
        <v>6489</v>
      </c>
      <c r="F16">
        <v>147</v>
      </c>
      <c r="G16">
        <v>15</v>
      </c>
      <c r="H16">
        <v>1466</v>
      </c>
      <c r="I16" s="1">
        <v>1976</v>
      </c>
      <c r="K16" s="34">
        <v>20254</v>
      </c>
      <c r="L16" s="1">
        <v>4182</v>
      </c>
      <c r="M16" s="1">
        <v>14121</v>
      </c>
      <c r="N16">
        <v>257</v>
      </c>
      <c r="O16">
        <v>11</v>
      </c>
      <c r="P16">
        <v>846</v>
      </c>
      <c r="Q16">
        <v>837</v>
      </c>
      <c r="S16">
        <v>902</v>
      </c>
      <c r="T16">
        <v>226</v>
      </c>
      <c r="U16">
        <v>482</v>
      </c>
      <c r="V16">
        <v>52</v>
      </c>
      <c r="W16">
        <v>1</v>
      </c>
      <c r="X16">
        <v>43</v>
      </c>
      <c r="Y16">
        <v>98</v>
      </c>
      <c r="AA16">
        <v>156</v>
      </c>
      <c r="AB16">
        <v>38</v>
      </c>
      <c r="AC16">
        <v>107</v>
      </c>
      <c r="AD16">
        <v>4</v>
      </c>
      <c r="AE16">
        <v>3</v>
      </c>
      <c r="AF16">
        <f t="shared" si="0"/>
        <v>308</v>
      </c>
      <c r="AG16" s="4">
        <v>56872</v>
      </c>
      <c r="AH16" s="34"/>
      <c r="AI16" s="26" t="s">
        <v>61</v>
      </c>
      <c r="AJ16" s="35">
        <v>11</v>
      </c>
      <c r="AK16" s="51">
        <v>541944</v>
      </c>
      <c r="AL16" s="37">
        <v>58.51</v>
      </c>
      <c r="AM16" s="37">
        <v>11</v>
      </c>
      <c r="AN16" s="51">
        <v>369702</v>
      </c>
      <c r="AO16" s="37">
        <v>39.92</v>
      </c>
      <c r="AP16" s="37" t="s">
        <v>32</v>
      </c>
      <c r="AQ16" s="36">
        <v>12501</v>
      </c>
      <c r="AR16" s="37">
        <v>1.35</v>
      </c>
      <c r="AS16" s="37" t="s">
        <v>32</v>
      </c>
      <c r="AT16" s="37">
        <v>632</v>
      </c>
      <c r="AU16" s="37">
        <v>7.0000000000000007E-2</v>
      </c>
      <c r="AV16" s="37" t="s">
        <v>32</v>
      </c>
      <c r="AW16" s="36">
        <v>1424</v>
      </c>
      <c r="AX16" s="37">
        <v>0.15</v>
      </c>
      <c r="AY16" s="37" t="s">
        <v>32</v>
      </c>
      <c r="AZ16" s="36">
        <v>172242</v>
      </c>
      <c r="BA16" s="37">
        <v>18.600000000000001</v>
      </c>
      <c r="BB16" s="36">
        <v>926203</v>
      </c>
      <c r="BC16" s="37" t="s">
        <v>62</v>
      </c>
    </row>
    <row r="17" spans="1:55" ht="15.75" thickBot="1">
      <c r="A17" t="s">
        <v>61</v>
      </c>
      <c r="B17">
        <v>11</v>
      </c>
      <c r="C17" s="34">
        <v>13365</v>
      </c>
      <c r="D17" s="1">
        <v>8957</v>
      </c>
      <c r="E17" s="1">
        <v>2939</v>
      </c>
      <c r="F17">
        <v>35</v>
      </c>
      <c r="G17">
        <v>14</v>
      </c>
      <c r="H17">
        <v>793</v>
      </c>
      <c r="I17">
        <v>627</v>
      </c>
      <c r="K17" s="4">
        <v>16592</v>
      </c>
      <c r="L17" s="1">
        <v>1586</v>
      </c>
      <c r="M17" s="1">
        <v>13594</v>
      </c>
      <c r="N17">
        <v>95</v>
      </c>
      <c r="O17">
        <v>6</v>
      </c>
      <c r="P17">
        <v>703</v>
      </c>
      <c r="Q17">
        <v>608</v>
      </c>
      <c r="S17">
        <v>732</v>
      </c>
      <c r="T17">
        <v>69</v>
      </c>
      <c r="U17">
        <v>554</v>
      </c>
      <c r="V17">
        <v>24</v>
      </c>
      <c r="W17">
        <v>0</v>
      </c>
      <c r="X17">
        <v>31</v>
      </c>
      <c r="Y17">
        <v>54</v>
      </c>
      <c r="AA17">
        <v>77</v>
      </c>
      <c r="AB17">
        <v>23</v>
      </c>
      <c r="AC17">
        <v>61</v>
      </c>
      <c r="AD17">
        <v>4</v>
      </c>
      <c r="AE17">
        <v>7</v>
      </c>
      <c r="AF17">
        <f t="shared" si="0"/>
        <v>172</v>
      </c>
      <c r="AG17" s="4">
        <v>30861</v>
      </c>
      <c r="AH17" s="34"/>
      <c r="AI17" s="26" t="s">
        <v>63</v>
      </c>
      <c r="AJ17" s="35">
        <v>10</v>
      </c>
      <c r="AK17" s="51">
        <v>292894</v>
      </c>
      <c r="AL17" s="37">
        <v>88.82</v>
      </c>
      <c r="AM17" s="37">
        <v>10</v>
      </c>
      <c r="AN17" s="51">
        <v>36791</v>
      </c>
      <c r="AO17" s="37">
        <v>11.16</v>
      </c>
      <c r="AP17" s="37" t="s">
        <v>32</v>
      </c>
      <c r="AQ17" s="37" t="s">
        <v>32</v>
      </c>
      <c r="AR17" s="37" t="s">
        <v>32</v>
      </c>
      <c r="AS17" s="37" t="s">
        <v>32</v>
      </c>
      <c r="AT17" s="37" t="s">
        <v>32</v>
      </c>
      <c r="AU17" s="37" t="s">
        <v>32</v>
      </c>
      <c r="AV17" s="37" t="s">
        <v>32</v>
      </c>
      <c r="AW17" s="37">
        <v>93</v>
      </c>
      <c r="AX17" s="37">
        <v>0</v>
      </c>
      <c r="AY17" s="37" t="s">
        <v>32</v>
      </c>
      <c r="AZ17" s="36">
        <v>256103</v>
      </c>
      <c r="BA17" s="37">
        <v>77.66</v>
      </c>
      <c r="BB17" s="36">
        <v>329778</v>
      </c>
      <c r="BC17" s="37" t="s">
        <v>64</v>
      </c>
    </row>
    <row r="18" spans="1:55" ht="15.75" thickBot="1">
      <c r="A18" t="s">
        <v>63</v>
      </c>
      <c r="B18">
        <v>10</v>
      </c>
      <c r="C18" s="34">
        <v>3686</v>
      </c>
      <c r="D18" s="1">
        <v>1366</v>
      </c>
      <c r="E18">
        <v>1742</v>
      </c>
      <c r="F18">
        <v>9</v>
      </c>
      <c r="G18">
        <v>3</v>
      </c>
      <c r="H18">
        <v>384</v>
      </c>
      <c r="I18">
        <v>182</v>
      </c>
      <c r="K18" s="34">
        <v>7902</v>
      </c>
      <c r="L18">
        <v>445</v>
      </c>
      <c r="M18" s="1">
        <v>6401</v>
      </c>
      <c r="N18">
        <v>39</v>
      </c>
      <c r="O18">
        <v>0</v>
      </c>
      <c r="P18">
        <v>697</v>
      </c>
      <c r="Q18">
        <v>320</v>
      </c>
      <c r="S18">
        <v>841</v>
      </c>
      <c r="T18">
        <v>35</v>
      </c>
      <c r="U18">
        <v>667</v>
      </c>
      <c r="V18">
        <v>23</v>
      </c>
      <c r="W18">
        <v>2</v>
      </c>
      <c r="X18">
        <v>55</v>
      </c>
      <c r="Y18">
        <v>59</v>
      </c>
      <c r="AA18">
        <v>85</v>
      </c>
      <c r="AB18">
        <v>28</v>
      </c>
      <c r="AC18">
        <v>37</v>
      </c>
      <c r="AD18">
        <v>0</v>
      </c>
      <c r="AE18">
        <v>6</v>
      </c>
      <c r="AF18">
        <f t="shared" si="0"/>
        <v>156</v>
      </c>
      <c r="AG18" s="4">
        <v>12585</v>
      </c>
      <c r="AH18" s="34"/>
      <c r="AI18" s="30" t="s">
        <v>65</v>
      </c>
      <c r="AJ18" s="38">
        <v>5</v>
      </c>
      <c r="AK18" s="52">
        <v>126333</v>
      </c>
      <c r="AL18" s="40">
        <v>41.52</v>
      </c>
      <c r="AM18" s="40" t="s">
        <v>32</v>
      </c>
      <c r="AN18" s="52">
        <v>168823</v>
      </c>
      <c r="AO18" s="40">
        <v>55.49</v>
      </c>
      <c r="AP18" s="40">
        <v>5</v>
      </c>
      <c r="AQ18" s="39">
        <v>7581</v>
      </c>
      <c r="AR18" s="40">
        <v>2.4900000000000002</v>
      </c>
      <c r="AS18" s="40" t="s">
        <v>32</v>
      </c>
      <c r="AT18" s="40">
        <v>783</v>
      </c>
      <c r="AU18" s="40">
        <v>0.26</v>
      </c>
      <c r="AV18" s="40" t="s">
        <v>32</v>
      </c>
      <c r="AW18" s="40">
        <v>720</v>
      </c>
      <c r="AX18" s="40">
        <v>0.24</v>
      </c>
      <c r="AY18" s="40" t="s">
        <v>32</v>
      </c>
      <c r="AZ18" s="39">
        <v>-42490</v>
      </c>
      <c r="BA18" s="40">
        <v>-13.97</v>
      </c>
      <c r="BB18" s="39">
        <v>304240</v>
      </c>
      <c r="BC18" s="40" t="s">
        <v>66</v>
      </c>
    </row>
    <row r="19" spans="1:55" ht="15.75" thickBot="1">
      <c r="A19" t="s">
        <v>65</v>
      </c>
      <c r="B19">
        <v>5</v>
      </c>
      <c r="C19" s="34">
        <v>11742</v>
      </c>
      <c r="D19" s="1">
        <v>8619</v>
      </c>
      <c r="E19" s="1">
        <v>1567</v>
      </c>
      <c r="F19">
        <v>25</v>
      </c>
      <c r="G19">
        <v>35</v>
      </c>
      <c r="H19">
        <v>713</v>
      </c>
      <c r="I19">
        <v>783</v>
      </c>
      <c r="K19" s="34">
        <v>5337</v>
      </c>
      <c r="L19">
        <v>635</v>
      </c>
      <c r="M19" s="1">
        <v>3820</v>
      </c>
      <c r="N19">
        <v>41</v>
      </c>
      <c r="O19">
        <v>1</v>
      </c>
      <c r="P19">
        <v>289</v>
      </c>
      <c r="Q19">
        <v>551</v>
      </c>
      <c r="S19">
        <v>418</v>
      </c>
      <c r="T19">
        <v>64</v>
      </c>
      <c r="U19">
        <v>277</v>
      </c>
      <c r="V19">
        <v>3</v>
      </c>
      <c r="W19">
        <v>2</v>
      </c>
      <c r="X19">
        <v>42</v>
      </c>
      <c r="Y19">
        <v>30</v>
      </c>
      <c r="AA19">
        <v>53</v>
      </c>
      <c r="AB19">
        <v>11</v>
      </c>
      <c r="AC19">
        <v>8</v>
      </c>
      <c r="AD19">
        <v>2</v>
      </c>
      <c r="AE19">
        <v>5</v>
      </c>
      <c r="AF19">
        <f t="shared" si="0"/>
        <v>79</v>
      </c>
      <c r="AG19" s="4">
        <v>17576</v>
      </c>
      <c r="AH19" s="34"/>
      <c r="AI19" s="26" t="s">
        <v>68</v>
      </c>
      <c r="AJ19" s="35">
        <v>8</v>
      </c>
      <c r="AK19" s="51">
        <v>389612</v>
      </c>
      <c r="AL19" s="37">
        <v>62.35</v>
      </c>
      <c r="AM19" s="37">
        <v>8</v>
      </c>
      <c r="AN19" s="51">
        <v>231435</v>
      </c>
      <c r="AO19" s="37">
        <v>37.04</v>
      </c>
      <c r="AP19" s="37" t="s">
        <v>32</v>
      </c>
      <c r="AQ19" s="37" t="s">
        <v>32</v>
      </c>
      <c r="AR19" s="37" t="s">
        <v>32</v>
      </c>
      <c r="AS19" s="37" t="s">
        <v>32</v>
      </c>
      <c r="AT19" s="36">
        <v>1629</v>
      </c>
      <c r="AU19" s="37">
        <v>0.26</v>
      </c>
      <c r="AV19" s="37" t="s">
        <v>32</v>
      </c>
      <c r="AW19" s="36">
        <v>2220</v>
      </c>
      <c r="AX19" s="37">
        <v>0.36</v>
      </c>
      <c r="AY19" s="37" t="s">
        <v>32</v>
      </c>
      <c r="AZ19" s="36">
        <v>158177</v>
      </c>
      <c r="BA19" s="37">
        <v>25.31</v>
      </c>
      <c r="BB19" s="36">
        <v>624896</v>
      </c>
      <c r="BC19" s="37" t="s">
        <v>69</v>
      </c>
    </row>
    <row r="20" spans="1:55" ht="15.75" thickBot="1">
      <c r="A20" t="s">
        <v>68</v>
      </c>
      <c r="B20">
        <v>8</v>
      </c>
      <c r="C20" s="34">
        <v>17463</v>
      </c>
      <c r="D20" s="1">
        <v>9754</v>
      </c>
      <c r="E20" s="1">
        <v>4685</v>
      </c>
      <c r="F20">
        <v>110</v>
      </c>
      <c r="G20">
        <v>2</v>
      </c>
      <c r="H20" s="1">
        <v>1479</v>
      </c>
      <c r="I20" s="1">
        <v>1433</v>
      </c>
      <c r="K20" s="34">
        <v>18341</v>
      </c>
      <c r="L20" s="1">
        <v>1891</v>
      </c>
      <c r="M20">
        <v>13540</v>
      </c>
      <c r="N20">
        <v>328</v>
      </c>
      <c r="O20">
        <v>5</v>
      </c>
      <c r="P20" s="1">
        <v>1366</v>
      </c>
      <c r="Q20" s="1">
        <v>1211</v>
      </c>
      <c r="S20">
        <v>614</v>
      </c>
      <c r="T20">
        <v>56</v>
      </c>
      <c r="U20">
        <v>422</v>
      </c>
      <c r="V20">
        <v>22</v>
      </c>
      <c r="W20">
        <v>1</v>
      </c>
      <c r="X20">
        <v>34</v>
      </c>
      <c r="Y20">
        <v>79</v>
      </c>
      <c r="AA20">
        <v>132</v>
      </c>
      <c r="AB20">
        <v>80</v>
      </c>
      <c r="AC20">
        <v>30</v>
      </c>
      <c r="AD20">
        <v>11</v>
      </c>
      <c r="AE20">
        <v>5</v>
      </c>
      <c r="AF20">
        <f t="shared" si="0"/>
        <v>258</v>
      </c>
      <c r="AG20" s="4">
        <v>36676</v>
      </c>
      <c r="AH20" s="34"/>
      <c r="AI20" s="26" t="s">
        <v>70</v>
      </c>
      <c r="AJ20" s="35">
        <v>17</v>
      </c>
      <c r="AK20" s="51">
        <v>942716</v>
      </c>
      <c r="AL20" s="37">
        <v>51.22</v>
      </c>
      <c r="AM20" s="37">
        <v>17</v>
      </c>
      <c r="AN20" s="51">
        <v>768613</v>
      </c>
      <c r="AO20" s="37">
        <v>41.76</v>
      </c>
      <c r="AP20" s="37" t="s">
        <v>32</v>
      </c>
      <c r="AQ20" s="36">
        <v>118639</v>
      </c>
      <c r="AR20" s="37">
        <v>6.45</v>
      </c>
      <c r="AS20" s="37" t="s">
        <v>32</v>
      </c>
      <c r="AT20" s="36">
        <v>5111</v>
      </c>
      <c r="AU20" s="37">
        <v>0.28000000000000003</v>
      </c>
      <c r="AV20" s="37" t="s">
        <v>32</v>
      </c>
      <c r="AW20" s="36">
        <v>5278</v>
      </c>
      <c r="AX20" s="37">
        <v>0.28999999999999998</v>
      </c>
      <c r="AY20" s="37" t="s">
        <v>32</v>
      </c>
      <c r="AZ20" s="36">
        <v>174103</v>
      </c>
      <c r="BA20" s="37">
        <v>9.4600000000000009</v>
      </c>
      <c r="BB20" s="36">
        <v>1840357</v>
      </c>
      <c r="BC20" s="37" t="s">
        <v>71</v>
      </c>
    </row>
    <row r="21" spans="1:55" ht="15.75" thickBot="1">
      <c r="A21" t="s">
        <v>70</v>
      </c>
      <c r="B21">
        <v>17</v>
      </c>
      <c r="C21" s="34">
        <v>87449</v>
      </c>
      <c r="D21" s="1">
        <v>70567</v>
      </c>
      <c r="E21" s="1">
        <v>10105</v>
      </c>
      <c r="F21">
        <v>330</v>
      </c>
      <c r="G21">
        <v>31</v>
      </c>
      <c r="H21">
        <v>3213</v>
      </c>
      <c r="I21" s="1">
        <v>3203</v>
      </c>
      <c r="K21" s="34">
        <v>25965</v>
      </c>
      <c r="L21" s="1">
        <v>5141</v>
      </c>
      <c r="M21" s="1">
        <v>17499</v>
      </c>
      <c r="N21">
        <v>744</v>
      </c>
      <c r="O21">
        <v>16</v>
      </c>
      <c r="P21" s="1">
        <v>1635</v>
      </c>
      <c r="Q21">
        <v>930</v>
      </c>
      <c r="S21">
        <v>5415</v>
      </c>
      <c r="T21" s="1">
        <v>1002</v>
      </c>
      <c r="U21" s="1">
        <v>3670</v>
      </c>
      <c r="V21">
        <v>133</v>
      </c>
      <c r="W21">
        <v>3</v>
      </c>
      <c r="X21">
        <v>236</v>
      </c>
      <c r="Y21">
        <v>371</v>
      </c>
      <c r="AA21">
        <v>544</v>
      </c>
      <c r="AB21">
        <v>310</v>
      </c>
      <c r="AC21">
        <v>72</v>
      </c>
      <c r="AD21">
        <v>42</v>
      </c>
      <c r="AE21">
        <v>32</v>
      </c>
      <c r="AF21">
        <f t="shared" si="0"/>
        <v>1000</v>
      </c>
      <c r="AG21" s="4">
        <v>119829</v>
      </c>
      <c r="AH21" s="34"/>
      <c r="AI21" s="26" t="s">
        <v>72</v>
      </c>
      <c r="AJ21" s="35">
        <v>19</v>
      </c>
      <c r="AK21" s="51">
        <v>1016794</v>
      </c>
      <c r="AL21" s="37">
        <v>56.33</v>
      </c>
      <c r="AM21" s="37">
        <v>19</v>
      </c>
      <c r="AN21" s="51">
        <v>699733</v>
      </c>
      <c r="AO21" s="37">
        <v>38.76</v>
      </c>
      <c r="AP21" s="37" t="s">
        <v>32</v>
      </c>
      <c r="AQ21" s="36">
        <v>75795</v>
      </c>
      <c r="AR21" s="37">
        <v>4.2</v>
      </c>
      <c r="AS21" s="37" t="s">
        <v>32</v>
      </c>
      <c r="AT21" s="36">
        <v>8208</v>
      </c>
      <c r="AU21" s="37">
        <v>0.45</v>
      </c>
      <c r="AV21" s="37" t="s">
        <v>32</v>
      </c>
      <c r="AW21" s="36">
        <v>4568</v>
      </c>
      <c r="AX21" s="37">
        <v>0.25</v>
      </c>
      <c r="AY21" s="37" t="s">
        <v>32</v>
      </c>
      <c r="AZ21" s="36">
        <v>317061</v>
      </c>
      <c r="BA21" s="37">
        <v>17.559999999999999</v>
      </c>
      <c r="BB21" s="36">
        <v>1805098</v>
      </c>
      <c r="BC21" s="37" t="s">
        <v>73</v>
      </c>
    </row>
    <row r="22" spans="1:55" ht="15.75" thickBot="1">
      <c r="A22" t="s">
        <v>72</v>
      </c>
      <c r="B22">
        <v>19</v>
      </c>
      <c r="C22" s="34">
        <v>51478</v>
      </c>
      <c r="D22" s="1">
        <v>38526</v>
      </c>
      <c r="E22" s="1">
        <v>8665</v>
      </c>
      <c r="F22">
        <v>287</v>
      </c>
      <c r="G22">
        <v>22</v>
      </c>
      <c r="H22">
        <v>2113</v>
      </c>
      <c r="I22" s="1">
        <v>1865</v>
      </c>
      <c r="K22" s="34">
        <v>25686</v>
      </c>
      <c r="L22" s="1">
        <v>5114</v>
      </c>
      <c r="M22" s="1">
        <v>17402</v>
      </c>
      <c r="N22">
        <v>748</v>
      </c>
      <c r="O22">
        <v>26</v>
      </c>
      <c r="P22" s="1">
        <v>1472</v>
      </c>
      <c r="Q22">
        <v>924</v>
      </c>
      <c r="S22" s="1">
        <v>3376</v>
      </c>
      <c r="T22">
        <v>680</v>
      </c>
      <c r="U22" s="1">
        <v>2145</v>
      </c>
      <c r="V22">
        <v>128</v>
      </c>
      <c r="W22">
        <v>4</v>
      </c>
      <c r="X22">
        <v>130</v>
      </c>
      <c r="Y22">
        <v>289</v>
      </c>
      <c r="AA22">
        <v>527</v>
      </c>
      <c r="AB22">
        <v>151</v>
      </c>
      <c r="AC22">
        <v>118</v>
      </c>
      <c r="AD22">
        <v>20</v>
      </c>
      <c r="AE22">
        <v>4</v>
      </c>
      <c r="AF22">
        <f t="shared" si="0"/>
        <v>820</v>
      </c>
      <c r="AG22" s="4">
        <v>81360</v>
      </c>
      <c r="AH22" s="34"/>
      <c r="AI22" s="26" t="s">
        <v>74</v>
      </c>
      <c r="AJ22" s="35">
        <v>11</v>
      </c>
      <c r="AK22" s="51">
        <v>698811</v>
      </c>
      <c r="AL22" s="37">
        <v>61.84</v>
      </c>
      <c r="AM22" s="37">
        <v>11</v>
      </c>
      <c r="AN22" s="51">
        <v>350461</v>
      </c>
      <c r="AO22" s="37">
        <v>31.01</v>
      </c>
      <c r="AP22" s="37" t="s">
        <v>32</v>
      </c>
      <c r="AQ22" s="36">
        <v>74296</v>
      </c>
      <c r="AR22" s="37">
        <v>6.58</v>
      </c>
      <c r="AS22" s="37" t="s">
        <v>32</v>
      </c>
      <c r="AT22" s="36">
        <v>2872</v>
      </c>
      <c r="AU22" s="37">
        <v>0.25</v>
      </c>
      <c r="AV22" s="37" t="s">
        <v>32</v>
      </c>
      <c r="AW22" s="36">
        <v>3535</v>
      </c>
      <c r="AX22" s="37">
        <v>0.31</v>
      </c>
      <c r="AY22" s="37" t="s">
        <v>32</v>
      </c>
      <c r="AZ22" s="36">
        <v>348350</v>
      </c>
      <c r="BA22" s="37">
        <v>30.83</v>
      </c>
      <c r="BB22" s="36">
        <v>1129975</v>
      </c>
      <c r="BC22" s="37" t="s">
        <v>75</v>
      </c>
    </row>
    <row r="23" spans="1:55" ht="15.75" thickBot="1">
      <c r="A23" t="s">
        <v>74</v>
      </c>
      <c r="B23">
        <v>11</v>
      </c>
      <c r="C23" s="34">
        <v>30762</v>
      </c>
      <c r="D23" s="1">
        <v>22386</v>
      </c>
      <c r="E23" s="1">
        <v>5958</v>
      </c>
      <c r="F23">
        <v>109</v>
      </c>
      <c r="G23">
        <v>3</v>
      </c>
      <c r="H23">
        <v>972</v>
      </c>
      <c r="I23" s="1">
        <v>1334</v>
      </c>
      <c r="K23" s="34">
        <v>20733</v>
      </c>
      <c r="L23" s="1">
        <v>3699</v>
      </c>
      <c r="M23" s="1">
        <v>14855</v>
      </c>
      <c r="N23">
        <v>511</v>
      </c>
      <c r="O23">
        <v>22</v>
      </c>
      <c r="P23">
        <v>861</v>
      </c>
      <c r="Q23">
        <v>785</v>
      </c>
      <c r="S23" s="1">
        <v>5426</v>
      </c>
      <c r="T23">
        <v>804</v>
      </c>
      <c r="U23" s="1">
        <v>3893</v>
      </c>
      <c r="V23">
        <v>115</v>
      </c>
      <c r="W23">
        <v>14</v>
      </c>
      <c r="X23">
        <v>157</v>
      </c>
      <c r="Y23">
        <v>443</v>
      </c>
      <c r="AA23">
        <v>375</v>
      </c>
      <c r="AB23">
        <v>163</v>
      </c>
      <c r="AC23">
        <v>185</v>
      </c>
      <c r="AD23">
        <v>29</v>
      </c>
      <c r="AE23">
        <v>12</v>
      </c>
      <c r="AF23">
        <f t="shared" si="0"/>
        <v>764</v>
      </c>
      <c r="AG23" s="4">
        <v>57685</v>
      </c>
      <c r="AH23" s="34"/>
      <c r="AI23" s="26" t="s">
        <v>76</v>
      </c>
      <c r="AJ23" s="35">
        <v>9</v>
      </c>
      <c r="AK23" s="51">
        <v>157318</v>
      </c>
      <c r="AL23" s="37">
        <v>97.06</v>
      </c>
      <c r="AM23" s="37">
        <v>9</v>
      </c>
      <c r="AN23" s="51">
        <v>4443</v>
      </c>
      <c r="AO23" s="37">
        <v>2.74</v>
      </c>
      <c r="AP23" s="37" t="s">
        <v>32</v>
      </c>
      <c r="AQ23" s="37" t="s">
        <v>32</v>
      </c>
      <c r="AR23" s="37" t="s">
        <v>32</v>
      </c>
      <c r="AS23" s="37" t="s">
        <v>32</v>
      </c>
      <c r="AT23" s="37">
        <v>329</v>
      </c>
      <c r="AU23" s="37">
        <v>0.2</v>
      </c>
      <c r="AV23" s="37" t="s">
        <v>32</v>
      </c>
      <c r="AW23" s="37" t="s">
        <v>32</v>
      </c>
      <c r="AX23" s="37" t="s">
        <v>32</v>
      </c>
      <c r="AY23" s="37" t="s">
        <v>32</v>
      </c>
      <c r="AZ23" s="36">
        <v>152875</v>
      </c>
      <c r="BA23" s="37">
        <v>94.31</v>
      </c>
      <c r="BB23" s="36">
        <v>162090</v>
      </c>
      <c r="BC23" s="37" t="s">
        <v>77</v>
      </c>
    </row>
    <row r="24" spans="1:55" ht="15.75" thickBot="1">
      <c r="A24" t="s">
        <v>76</v>
      </c>
      <c r="B24">
        <v>9</v>
      </c>
      <c r="C24" s="4">
        <v>848</v>
      </c>
      <c r="D24">
        <v>269</v>
      </c>
      <c r="E24">
        <v>394</v>
      </c>
      <c r="F24">
        <v>1</v>
      </c>
      <c r="G24">
        <v>0</v>
      </c>
      <c r="H24">
        <v>137</v>
      </c>
      <c r="I24">
        <v>47</v>
      </c>
      <c r="K24" s="34">
        <v>6080</v>
      </c>
      <c r="L24">
        <v>88</v>
      </c>
      <c r="M24" s="1">
        <v>5396</v>
      </c>
      <c r="N24">
        <v>8</v>
      </c>
      <c r="O24">
        <v>1</v>
      </c>
      <c r="P24">
        <v>298</v>
      </c>
      <c r="Q24">
        <v>289</v>
      </c>
      <c r="S24">
        <v>43</v>
      </c>
      <c r="T24">
        <v>5</v>
      </c>
      <c r="U24">
        <v>32</v>
      </c>
      <c r="V24">
        <v>1</v>
      </c>
      <c r="W24">
        <v>0</v>
      </c>
      <c r="X24">
        <v>2</v>
      </c>
      <c r="Y24">
        <v>3</v>
      </c>
      <c r="AA24">
        <v>18</v>
      </c>
      <c r="AB24">
        <v>6</v>
      </c>
      <c r="AC24">
        <v>16</v>
      </c>
      <c r="AD24">
        <v>0</v>
      </c>
      <c r="AE24">
        <v>1</v>
      </c>
      <c r="AF24">
        <f t="shared" si="0"/>
        <v>41</v>
      </c>
      <c r="AG24" s="4">
        <v>7012</v>
      </c>
      <c r="AH24" s="34"/>
      <c r="AI24" s="26" t="s">
        <v>78</v>
      </c>
      <c r="AJ24" s="35">
        <v>15</v>
      </c>
      <c r="AK24" s="51">
        <v>1111043</v>
      </c>
      <c r="AL24" s="37">
        <v>60.76</v>
      </c>
      <c r="AM24" s="37">
        <v>15</v>
      </c>
      <c r="AN24" s="51">
        <v>697891</v>
      </c>
      <c r="AO24" s="37">
        <v>38.159999999999997</v>
      </c>
      <c r="AP24" s="37" t="s">
        <v>32</v>
      </c>
      <c r="AQ24" s="36">
        <v>14630</v>
      </c>
      <c r="AR24" s="37">
        <v>0.8</v>
      </c>
      <c r="AS24" s="37" t="s">
        <v>32</v>
      </c>
      <c r="AT24" s="36">
        <v>3454</v>
      </c>
      <c r="AU24" s="37">
        <v>0.19</v>
      </c>
      <c r="AV24" s="37" t="s">
        <v>32</v>
      </c>
      <c r="AW24" s="36">
        <v>1617</v>
      </c>
      <c r="AX24" s="37">
        <v>0.09</v>
      </c>
      <c r="AY24" s="37" t="s">
        <v>32</v>
      </c>
      <c r="AZ24" s="36">
        <v>413152</v>
      </c>
      <c r="BA24" s="37">
        <v>22.59</v>
      </c>
      <c r="BB24" s="36">
        <v>1828635</v>
      </c>
      <c r="BC24" s="37" t="s">
        <v>79</v>
      </c>
    </row>
    <row r="25" spans="1:55" ht="15.75" thickBot="1">
      <c r="A25" t="s">
        <v>78</v>
      </c>
      <c r="B25">
        <v>15</v>
      </c>
      <c r="C25" s="34">
        <v>50022</v>
      </c>
      <c r="D25" s="1">
        <v>33551</v>
      </c>
      <c r="E25" s="1">
        <v>11149</v>
      </c>
      <c r="F25">
        <v>244</v>
      </c>
      <c r="G25">
        <v>45</v>
      </c>
      <c r="H25">
        <v>2975</v>
      </c>
      <c r="I25" s="1">
        <v>2058</v>
      </c>
      <c r="K25" s="34">
        <v>38267</v>
      </c>
      <c r="L25" s="1">
        <v>4463</v>
      </c>
      <c r="M25" s="1">
        <v>30608</v>
      </c>
      <c r="N25">
        <v>455</v>
      </c>
      <c r="O25">
        <v>15</v>
      </c>
      <c r="P25" s="1">
        <v>1485</v>
      </c>
      <c r="Q25">
        <v>1241</v>
      </c>
      <c r="S25">
        <v>2368</v>
      </c>
      <c r="T25">
        <v>322</v>
      </c>
      <c r="U25">
        <v>1680</v>
      </c>
      <c r="V25">
        <v>73</v>
      </c>
      <c r="W25">
        <v>4</v>
      </c>
      <c r="X25">
        <v>122</v>
      </c>
      <c r="Y25">
        <v>167</v>
      </c>
      <c r="AA25">
        <v>468</v>
      </c>
      <c r="AB25">
        <v>97</v>
      </c>
      <c r="AC25">
        <v>103</v>
      </c>
      <c r="AD25">
        <v>16</v>
      </c>
      <c r="AE25">
        <v>13</v>
      </c>
      <c r="AF25">
        <f t="shared" si="0"/>
        <v>697</v>
      </c>
      <c r="AG25" s="4">
        <v>91354</v>
      </c>
      <c r="AH25" s="34"/>
      <c r="AI25" s="26" t="s">
        <v>80</v>
      </c>
      <c r="AJ25" s="35">
        <v>4</v>
      </c>
      <c r="AK25" s="51">
        <v>159690</v>
      </c>
      <c r="AL25" s="37">
        <v>69.28</v>
      </c>
      <c r="AM25" s="37">
        <v>4</v>
      </c>
      <c r="AN25" s="51">
        <v>63598</v>
      </c>
      <c r="AO25" s="37">
        <v>27.59</v>
      </c>
      <c r="AP25" s="37" t="s">
        <v>32</v>
      </c>
      <c r="AQ25" s="36">
        <v>5549</v>
      </c>
      <c r="AR25" s="37">
        <v>2.41</v>
      </c>
      <c r="AS25" s="37" t="s">
        <v>32</v>
      </c>
      <c r="AT25" s="36">
        <v>1066</v>
      </c>
      <c r="AU25" s="37">
        <v>0.46</v>
      </c>
      <c r="AV25" s="37" t="s">
        <v>32</v>
      </c>
      <c r="AW25" s="37">
        <v>609</v>
      </c>
      <c r="AX25" s="37">
        <v>0.26</v>
      </c>
      <c r="AY25" s="37" t="s">
        <v>32</v>
      </c>
      <c r="AZ25" s="36">
        <v>96092</v>
      </c>
      <c r="BA25" s="37">
        <v>41.69</v>
      </c>
      <c r="BB25" s="36">
        <v>230512</v>
      </c>
      <c r="BC25" s="37" t="s">
        <v>81</v>
      </c>
    </row>
    <row r="26" spans="1:55" ht="15.75" thickBot="1">
      <c r="A26" t="s">
        <v>80</v>
      </c>
      <c r="B26">
        <v>4</v>
      </c>
      <c r="C26" s="34">
        <v>4490</v>
      </c>
      <c r="D26" s="1">
        <v>3336</v>
      </c>
      <c r="E26">
        <v>828</v>
      </c>
      <c r="F26">
        <v>23</v>
      </c>
      <c r="G26">
        <v>0</v>
      </c>
      <c r="H26">
        <v>139</v>
      </c>
      <c r="I26">
        <v>164</v>
      </c>
      <c r="K26" s="34">
        <v>3562</v>
      </c>
      <c r="L26">
        <v>660</v>
      </c>
      <c r="M26" s="1">
        <v>2517</v>
      </c>
      <c r="N26">
        <v>94</v>
      </c>
      <c r="O26">
        <v>1</v>
      </c>
      <c r="P26">
        <v>151</v>
      </c>
      <c r="Q26">
        <v>139</v>
      </c>
      <c r="S26">
        <v>212</v>
      </c>
      <c r="T26">
        <v>57</v>
      </c>
      <c r="U26">
        <v>108</v>
      </c>
      <c r="V26">
        <v>12</v>
      </c>
      <c r="W26">
        <v>1</v>
      </c>
      <c r="X26">
        <v>6</v>
      </c>
      <c r="Y26">
        <v>28</v>
      </c>
      <c r="AA26">
        <v>58</v>
      </c>
      <c r="AB26">
        <v>10</v>
      </c>
      <c r="AC26">
        <v>18</v>
      </c>
      <c r="AD26">
        <v>0</v>
      </c>
      <c r="AE26">
        <v>2</v>
      </c>
      <c r="AF26">
        <f t="shared" si="0"/>
        <v>88</v>
      </c>
      <c r="AG26" s="4">
        <v>8352</v>
      </c>
      <c r="AH26" s="34"/>
      <c r="AI26" s="26" t="s">
        <v>82</v>
      </c>
      <c r="AJ26" s="35">
        <v>7</v>
      </c>
      <c r="AK26" s="51">
        <v>347445</v>
      </c>
      <c r="AL26" s="37">
        <v>57.14</v>
      </c>
      <c r="AM26" s="37">
        <v>7</v>
      </c>
      <c r="AN26" s="51">
        <v>247731</v>
      </c>
      <c r="AO26" s="37">
        <v>40.74</v>
      </c>
      <c r="AP26" s="37" t="s">
        <v>32</v>
      </c>
      <c r="AQ26" s="36">
        <v>12847</v>
      </c>
      <c r="AR26" s="37">
        <v>2.11</v>
      </c>
      <c r="AS26" s="37" t="s">
        <v>32</v>
      </c>
      <c r="AT26" s="37" t="s">
        <v>32</v>
      </c>
      <c r="AU26" s="37" t="s">
        <v>32</v>
      </c>
      <c r="AV26" s="37" t="s">
        <v>32</v>
      </c>
      <c r="AW26" s="37" t="s">
        <v>32</v>
      </c>
      <c r="AX26" s="37" t="s">
        <v>32</v>
      </c>
      <c r="AY26" s="37" t="s">
        <v>32</v>
      </c>
      <c r="AZ26" s="36">
        <v>99714</v>
      </c>
      <c r="BA26" s="37">
        <v>16.399999999999999</v>
      </c>
      <c r="BB26" s="36">
        <v>608023</v>
      </c>
      <c r="BC26" s="37" t="s">
        <v>83</v>
      </c>
    </row>
    <row r="27" spans="1:55" ht="15.75" thickBot="1">
      <c r="A27" t="s">
        <v>82</v>
      </c>
      <c r="B27">
        <v>7</v>
      </c>
      <c r="C27" s="34">
        <v>18280</v>
      </c>
      <c r="D27" s="1">
        <v>12436</v>
      </c>
      <c r="E27" s="1">
        <v>4241</v>
      </c>
      <c r="F27">
        <v>100</v>
      </c>
      <c r="G27">
        <v>7</v>
      </c>
      <c r="H27">
        <v>685</v>
      </c>
      <c r="I27">
        <v>811</v>
      </c>
      <c r="K27" s="34">
        <v>11770</v>
      </c>
      <c r="L27" s="1">
        <v>1677</v>
      </c>
      <c r="M27" s="1">
        <v>9045</v>
      </c>
      <c r="N27">
        <v>177</v>
      </c>
      <c r="O27">
        <v>2</v>
      </c>
      <c r="P27">
        <v>418</v>
      </c>
      <c r="Q27">
        <v>451</v>
      </c>
      <c r="S27">
        <v>862</v>
      </c>
      <c r="T27">
        <v>157</v>
      </c>
      <c r="U27">
        <v>594</v>
      </c>
      <c r="V27">
        <v>31</v>
      </c>
      <c r="W27">
        <v>2</v>
      </c>
      <c r="X27">
        <v>18</v>
      </c>
      <c r="Y27">
        <v>60</v>
      </c>
      <c r="AA27">
        <v>79</v>
      </c>
      <c r="AB27">
        <v>34</v>
      </c>
      <c r="AC27">
        <v>42</v>
      </c>
      <c r="AD27">
        <v>1</v>
      </c>
      <c r="AE27">
        <v>4</v>
      </c>
      <c r="AF27">
        <f t="shared" si="0"/>
        <v>160</v>
      </c>
      <c r="AG27" s="4">
        <v>31072</v>
      </c>
      <c r="AH27" s="34"/>
      <c r="AI27" s="26" t="s">
        <v>84</v>
      </c>
      <c r="AJ27" s="35">
        <v>3</v>
      </c>
      <c r="AK27" s="51">
        <v>31925</v>
      </c>
      <c r="AL27" s="37">
        <v>72.81</v>
      </c>
      <c r="AM27" s="37">
        <v>3</v>
      </c>
      <c r="AN27" s="51">
        <v>11923</v>
      </c>
      <c r="AO27" s="37">
        <v>27.19</v>
      </c>
      <c r="AP27" s="37" t="s">
        <v>32</v>
      </c>
      <c r="AQ27" s="37" t="s">
        <v>32</v>
      </c>
      <c r="AR27" s="37" t="s">
        <v>32</v>
      </c>
      <c r="AS27" s="37" t="s">
        <v>32</v>
      </c>
      <c r="AT27" s="37" t="s">
        <v>32</v>
      </c>
      <c r="AU27" s="37" t="s">
        <v>32</v>
      </c>
      <c r="AV27" s="37" t="s">
        <v>32</v>
      </c>
      <c r="AW27" s="37" t="s">
        <v>32</v>
      </c>
      <c r="AX27" s="37" t="s">
        <v>32</v>
      </c>
      <c r="AY27" s="37" t="s">
        <v>32</v>
      </c>
      <c r="AZ27" s="36">
        <v>20002</v>
      </c>
      <c r="BA27" s="37">
        <v>45.62</v>
      </c>
      <c r="BB27" s="36">
        <v>43848</v>
      </c>
      <c r="BC27" s="37" t="s">
        <v>85</v>
      </c>
    </row>
    <row r="28" spans="1:55" ht="15.75" thickBot="1">
      <c r="A28" t="s">
        <v>84</v>
      </c>
      <c r="B28">
        <v>3</v>
      </c>
      <c r="C28" s="34">
        <v>1003</v>
      </c>
      <c r="D28">
        <v>658</v>
      </c>
      <c r="E28">
        <v>272</v>
      </c>
      <c r="F28">
        <v>0</v>
      </c>
      <c r="G28">
        <v>0</v>
      </c>
      <c r="H28">
        <v>36</v>
      </c>
      <c r="I28">
        <v>37</v>
      </c>
      <c r="K28" s="4">
        <v>955</v>
      </c>
      <c r="L28">
        <v>163</v>
      </c>
      <c r="M28">
        <v>716</v>
      </c>
      <c r="N28">
        <v>2</v>
      </c>
      <c r="O28">
        <v>0</v>
      </c>
      <c r="P28">
        <v>42</v>
      </c>
      <c r="Q28">
        <v>32</v>
      </c>
      <c r="S28">
        <v>36</v>
      </c>
      <c r="T28">
        <v>9</v>
      </c>
      <c r="U28">
        <v>22</v>
      </c>
      <c r="V28">
        <v>0</v>
      </c>
      <c r="W28">
        <v>0</v>
      </c>
      <c r="X28">
        <v>4</v>
      </c>
      <c r="Y28">
        <v>1</v>
      </c>
      <c r="AA28">
        <v>9</v>
      </c>
      <c r="AB28">
        <v>5</v>
      </c>
      <c r="AC28">
        <v>3</v>
      </c>
      <c r="AD28">
        <v>1</v>
      </c>
      <c r="AE28">
        <v>1</v>
      </c>
      <c r="AF28">
        <f t="shared" si="0"/>
        <v>19</v>
      </c>
      <c r="AG28" s="4">
        <v>2013</v>
      </c>
      <c r="AH28" s="34"/>
      <c r="AI28" s="26" t="s">
        <v>86</v>
      </c>
      <c r="AJ28" s="35">
        <v>4</v>
      </c>
      <c r="AK28" s="51">
        <v>108460</v>
      </c>
      <c r="AL28" s="37">
        <v>49.73</v>
      </c>
      <c r="AM28" s="37">
        <v>4</v>
      </c>
      <c r="AN28" s="51">
        <v>104642</v>
      </c>
      <c r="AO28" s="37">
        <v>47.98</v>
      </c>
      <c r="AP28" s="37" t="s">
        <v>32</v>
      </c>
      <c r="AQ28" s="36">
        <v>4819</v>
      </c>
      <c r="AR28" s="37">
        <v>2.21</v>
      </c>
      <c r="AS28" s="37" t="s">
        <v>32</v>
      </c>
      <c r="AT28" s="37" t="s">
        <v>32</v>
      </c>
      <c r="AU28" s="37" t="s">
        <v>32</v>
      </c>
      <c r="AV28" s="37" t="s">
        <v>32</v>
      </c>
      <c r="AW28" s="37">
        <v>193</v>
      </c>
      <c r="AX28" s="37">
        <v>0.09</v>
      </c>
      <c r="AY28" s="37" t="s">
        <v>32</v>
      </c>
      <c r="AZ28" s="36">
        <v>3818</v>
      </c>
      <c r="BA28" s="37">
        <v>1.75</v>
      </c>
      <c r="BB28" s="36">
        <v>218114</v>
      </c>
      <c r="BC28" s="37" t="s">
        <v>87</v>
      </c>
    </row>
    <row r="29" spans="1:55" ht="15.75" thickBot="1">
      <c r="A29" t="s">
        <v>86</v>
      </c>
      <c r="B29">
        <v>4</v>
      </c>
      <c r="C29" s="34">
        <v>9207</v>
      </c>
      <c r="D29" s="1">
        <v>7504</v>
      </c>
      <c r="E29">
        <v>1072</v>
      </c>
      <c r="F29">
        <v>21</v>
      </c>
      <c r="G29">
        <v>0</v>
      </c>
      <c r="H29">
        <v>253</v>
      </c>
      <c r="I29">
        <v>357</v>
      </c>
      <c r="K29" s="34">
        <v>2737</v>
      </c>
      <c r="L29">
        <v>479</v>
      </c>
      <c r="M29" s="1">
        <v>1984</v>
      </c>
      <c r="N29">
        <v>51</v>
      </c>
      <c r="O29">
        <v>1</v>
      </c>
      <c r="P29">
        <v>114</v>
      </c>
      <c r="Q29">
        <v>108</v>
      </c>
      <c r="S29">
        <v>372</v>
      </c>
      <c r="T29">
        <v>84</v>
      </c>
      <c r="U29">
        <v>238</v>
      </c>
      <c r="V29">
        <v>8</v>
      </c>
      <c r="W29">
        <v>0</v>
      </c>
      <c r="X29">
        <v>18</v>
      </c>
      <c r="Y29">
        <v>24</v>
      </c>
      <c r="AA29">
        <v>56</v>
      </c>
      <c r="AB29">
        <v>17</v>
      </c>
      <c r="AC29">
        <v>13</v>
      </c>
      <c r="AD29">
        <v>0</v>
      </c>
      <c r="AE29">
        <v>0</v>
      </c>
      <c r="AF29">
        <f t="shared" si="0"/>
        <v>86</v>
      </c>
      <c r="AG29" s="4">
        <v>12402</v>
      </c>
      <c r="AH29" s="34"/>
      <c r="AI29" s="26" t="s">
        <v>90</v>
      </c>
      <c r="AJ29" s="35">
        <v>16</v>
      </c>
      <c r="AK29" s="51">
        <v>1083850</v>
      </c>
      <c r="AL29" s="37">
        <v>59.54</v>
      </c>
      <c r="AM29" s="37">
        <v>16</v>
      </c>
      <c r="AN29" s="51">
        <v>720322</v>
      </c>
      <c r="AO29" s="37">
        <v>39.57</v>
      </c>
      <c r="AP29" s="37" t="s">
        <v>32</v>
      </c>
      <c r="AQ29" s="36">
        <v>9407</v>
      </c>
      <c r="AR29" s="37">
        <v>0.52</v>
      </c>
      <c r="AS29" s="37" t="s">
        <v>32</v>
      </c>
      <c r="AT29" s="36">
        <v>3931</v>
      </c>
      <c r="AU29" s="37">
        <v>0.22</v>
      </c>
      <c r="AV29" s="37" t="s">
        <v>32</v>
      </c>
      <c r="AW29" s="36">
        <v>2927</v>
      </c>
      <c r="AX29" s="37">
        <v>0.16</v>
      </c>
      <c r="AY29" s="37" t="s">
        <v>32</v>
      </c>
      <c r="AZ29" s="36">
        <v>364128</v>
      </c>
      <c r="BA29" s="37">
        <v>19.97</v>
      </c>
      <c r="BB29" s="36">
        <v>1820437</v>
      </c>
      <c r="BC29" s="37" t="s">
        <v>91</v>
      </c>
    </row>
    <row r="30" spans="1:55" ht="15.75" thickBot="1">
      <c r="A30" t="s">
        <v>90</v>
      </c>
      <c r="B30">
        <v>16</v>
      </c>
      <c r="C30" s="34">
        <v>58677</v>
      </c>
      <c r="D30" s="1">
        <v>45361</v>
      </c>
      <c r="E30" s="1">
        <v>8625</v>
      </c>
      <c r="F30">
        <v>251</v>
      </c>
      <c r="G30">
        <v>17</v>
      </c>
      <c r="H30" s="1">
        <v>2383</v>
      </c>
      <c r="I30" s="1">
        <v>2040</v>
      </c>
      <c r="K30" s="34">
        <v>27631</v>
      </c>
      <c r="L30" s="1">
        <v>5495</v>
      </c>
      <c r="M30" s="1">
        <v>18642</v>
      </c>
      <c r="N30" s="1">
        <v>1032</v>
      </c>
      <c r="O30">
        <v>14</v>
      </c>
      <c r="P30" s="1">
        <v>1548</v>
      </c>
      <c r="Q30">
        <v>900</v>
      </c>
      <c r="S30" s="1">
        <v>2444</v>
      </c>
      <c r="T30">
        <v>442</v>
      </c>
      <c r="U30" s="1">
        <v>1633</v>
      </c>
      <c r="V30">
        <v>89</v>
      </c>
      <c r="W30">
        <v>1</v>
      </c>
      <c r="X30">
        <v>104</v>
      </c>
      <c r="Y30">
        <v>175</v>
      </c>
      <c r="AA30">
        <v>601</v>
      </c>
      <c r="AB30">
        <v>367</v>
      </c>
      <c r="AC30">
        <v>87</v>
      </c>
      <c r="AD30">
        <v>23</v>
      </c>
      <c r="AE30">
        <v>24</v>
      </c>
      <c r="AF30">
        <f t="shared" si="0"/>
        <v>1102</v>
      </c>
      <c r="AG30" s="4">
        <v>89854</v>
      </c>
      <c r="AH30" s="34"/>
      <c r="AI30" s="26" t="s">
        <v>92</v>
      </c>
      <c r="AJ30" s="35">
        <v>3</v>
      </c>
      <c r="AK30" s="51">
        <v>106037</v>
      </c>
      <c r="AL30" s="37">
        <v>62.69</v>
      </c>
      <c r="AM30" s="37">
        <v>3</v>
      </c>
      <c r="AN30" s="51">
        <v>61727</v>
      </c>
      <c r="AO30" s="37">
        <v>36.5</v>
      </c>
      <c r="AP30" s="37" t="s">
        <v>32</v>
      </c>
      <c r="AQ30" s="37">
        <v>924</v>
      </c>
      <c r="AR30" s="37">
        <v>0.55000000000000004</v>
      </c>
      <c r="AS30" s="37" t="s">
        <v>32</v>
      </c>
      <c r="AT30" s="37">
        <v>343</v>
      </c>
      <c r="AU30" s="37">
        <v>0.2</v>
      </c>
      <c r="AV30" s="37" t="s">
        <v>32</v>
      </c>
      <c r="AW30" s="37">
        <v>105</v>
      </c>
      <c r="AX30" s="37">
        <v>0.06</v>
      </c>
      <c r="AY30" s="37" t="s">
        <v>32</v>
      </c>
      <c r="AZ30" s="36">
        <v>44310</v>
      </c>
      <c r="BA30" s="37">
        <v>26.2</v>
      </c>
      <c r="BB30" s="36">
        <v>169176</v>
      </c>
      <c r="BC30" s="37" t="s">
        <v>93</v>
      </c>
    </row>
    <row r="31" spans="1:55" ht="15.75" thickBot="1">
      <c r="A31" t="s">
        <v>92</v>
      </c>
      <c r="B31">
        <v>3</v>
      </c>
      <c r="C31" s="34">
        <v>1625</v>
      </c>
      <c r="D31" s="1">
        <v>1003</v>
      </c>
      <c r="E31">
        <v>444</v>
      </c>
      <c r="F31">
        <v>7</v>
      </c>
      <c r="G31">
        <v>1</v>
      </c>
      <c r="H31">
        <v>80</v>
      </c>
      <c r="I31">
        <v>90</v>
      </c>
      <c r="K31" s="34">
        <v>1662</v>
      </c>
      <c r="L31">
        <v>212</v>
      </c>
      <c r="M31">
        <v>1290</v>
      </c>
      <c r="N31">
        <v>24</v>
      </c>
      <c r="O31">
        <v>0</v>
      </c>
      <c r="P31">
        <v>70</v>
      </c>
      <c r="Q31">
        <v>66</v>
      </c>
      <c r="S31">
        <v>54</v>
      </c>
      <c r="T31">
        <v>13</v>
      </c>
      <c r="U31">
        <v>33</v>
      </c>
      <c r="V31">
        <v>1</v>
      </c>
      <c r="W31">
        <v>2</v>
      </c>
      <c r="X31">
        <v>2</v>
      </c>
      <c r="Y31">
        <v>3</v>
      </c>
      <c r="AA31">
        <v>12</v>
      </c>
      <c r="AB31">
        <v>3</v>
      </c>
      <c r="AC31">
        <v>7</v>
      </c>
      <c r="AD31">
        <v>0</v>
      </c>
      <c r="AE31">
        <v>0</v>
      </c>
      <c r="AF31">
        <f t="shared" si="0"/>
        <v>22</v>
      </c>
      <c r="AG31" s="4">
        <v>3363</v>
      </c>
      <c r="AH31" s="34"/>
      <c r="AI31" s="26" t="s">
        <v>94</v>
      </c>
      <c r="AJ31" s="35">
        <v>47</v>
      </c>
      <c r="AK31" s="51">
        <v>3293222</v>
      </c>
      <c r="AL31" s="37">
        <v>58.85</v>
      </c>
      <c r="AM31" s="37">
        <v>47</v>
      </c>
      <c r="AN31" s="51">
        <v>2180670</v>
      </c>
      <c r="AO31" s="37">
        <v>38.97</v>
      </c>
      <c r="AP31" s="37" t="s">
        <v>32</v>
      </c>
      <c r="AQ31" s="37" t="s">
        <v>32</v>
      </c>
      <c r="AR31" s="37" t="s">
        <v>32</v>
      </c>
      <c r="AS31" s="37" t="s">
        <v>32</v>
      </c>
      <c r="AT31" s="36">
        <v>86897</v>
      </c>
      <c r="AU31" s="37">
        <v>1.55</v>
      </c>
      <c r="AV31" s="37" t="s">
        <v>32</v>
      </c>
      <c r="AW31" s="36">
        <v>35609</v>
      </c>
      <c r="AX31" s="37">
        <v>0.64</v>
      </c>
      <c r="AY31" s="37" t="s">
        <v>32</v>
      </c>
      <c r="AZ31" s="36">
        <v>1112552</v>
      </c>
      <c r="BA31" s="37">
        <v>19.88</v>
      </c>
      <c r="BB31" s="36">
        <v>5596398</v>
      </c>
      <c r="BC31" s="37" t="s">
        <v>95</v>
      </c>
    </row>
    <row r="32" spans="1:55" ht="15.75" thickBot="1">
      <c r="A32" t="s">
        <v>94</v>
      </c>
      <c r="B32">
        <v>47</v>
      </c>
      <c r="C32" s="34">
        <v>162260</v>
      </c>
      <c r="D32" s="1">
        <v>114574</v>
      </c>
      <c r="E32" s="1">
        <v>33052</v>
      </c>
      <c r="F32">
        <v>805</v>
      </c>
      <c r="G32">
        <v>45</v>
      </c>
      <c r="H32">
        <v>7125</v>
      </c>
      <c r="I32" s="1">
        <v>6659</v>
      </c>
      <c r="K32" s="34">
        <v>139277</v>
      </c>
      <c r="L32" s="1">
        <v>18241</v>
      </c>
      <c r="M32" s="1">
        <v>99938</v>
      </c>
      <c r="N32" s="1">
        <v>4101</v>
      </c>
      <c r="O32">
        <v>141</v>
      </c>
      <c r="P32" s="1">
        <v>10604</v>
      </c>
      <c r="Q32" s="1">
        <v>6252</v>
      </c>
      <c r="S32" s="1">
        <v>14656</v>
      </c>
      <c r="T32" s="1">
        <v>2106</v>
      </c>
      <c r="U32" s="1">
        <v>10414</v>
      </c>
      <c r="V32">
        <v>303</v>
      </c>
      <c r="W32">
        <v>20</v>
      </c>
      <c r="X32">
        <v>670</v>
      </c>
      <c r="Y32" s="1">
        <v>1143</v>
      </c>
      <c r="AA32" s="1">
        <v>2404</v>
      </c>
      <c r="AB32" s="1">
        <v>4372</v>
      </c>
      <c r="AC32">
        <v>364</v>
      </c>
      <c r="AD32">
        <v>138</v>
      </c>
      <c r="AE32">
        <v>164</v>
      </c>
      <c r="AF32">
        <f t="shared" si="0"/>
        <v>7442</v>
      </c>
      <c r="AG32" s="4">
        <v>323635</v>
      </c>
      <c r="AH32" s="34"/>
      <c r="AI32" s="26" t="s">
        <v>96</v>
      </c>
      <c r="AJ32" s="35">
        <v>13</v>
      </c>
      <c r="AK32" s="51">
        <v>616141</v>
      </c>
      <c r="AL32" s="37">
        <v>73.400000000000006</v>
      </c>
      <c r="AM32" s="37">
        <v>13</v>
      </c>
      <c r="AN32" s="51">
        <v>223283</v>
      </c>
      <c r="AO32" s="37">
        <v>26.6</v>
      </c>
      <c r="AP32" s="37" t="s">
        <v>32</v>
      </c>
      <c r="AQ32" s="37">
        <v>2</v>
      </c>
      <c r="AR32" s="37">
        <v>0</v>
      </c>
      <c r="AS32" s="37" t="s">
        <v>32</v>
      </c>
      <c r="AT32" s="37">
        <v>21</v>
      </c>
      <c r="AU32" s="37">
        <v>0</v>
      </c>
      <c r="AV32" s="37" t="s">
        <v>32</v>
      </c>
      <c r="AW32" s="37">
        <v>17</v>
      </c>
      <c r="AX32" s="37">
        <v>0</v>
      </c>
      <c r="AY32" s="37" t="s">
        <v>32</v>
      </c>
      <c r="AZ32" s="36">
        <v>392858</v>
      </c>
      <c r="BA32" s="37">
        <v>46.8</v>
      </c>
      <c r="BB32" s="36">
        <v>839464</v>
      </c>
      <c r="BC32" s="37" t="s">
        <v>97</v>
      </c>
    </row>
    <row r="33" spans="1:55" ht="15.75" thickBot="1">
      <c r="A33" t="s">
        <v>96</v>
      </c>
      <c r="B33">
        <v>13</v>
      </c>
      <c r="C33" s="34">
        <v>6113</v>
      </c>
      <c r="D33" s="1">
        <v>3532</v>
      </c>
      <c r="E33" s="1">
        <v>1656</v>
      </c>
      <c r="F33">
        <v>33</v>
      </c>
      <c r="G33">
        <v>5</v>
      </c>
      <c r="H33">
        <v>580</v>
      </c>
      <c r="I33">
        <v>307</v>
      </c>
      <c r="K33" s="34">
        <v>16324</v>
      </c>
      <c r="L33">
        <v>820</v>
      </c>
      <c r="M33">
        <v>13778</v>
      </c>
      <c r="N33">
        <v>119</v>
      </c>
      <c r="O33">
        <v>6</v>
      </c>
      <c r="P33">
        <v>946</v>
      </c>
      <c r="Q33">
        <v>655</v>
      </c>
      <c r="S33">
        <v>35</v>
      </c>
      <c r="T33">
        <v>5</v>
      </c>
      <c r="U33">
        <v>20</v>
      </c>
      <c r="V33">
        <v>3</v>
      </c>
      <c r="W33">
        <v>0</v>
      </c>
      <c r="X33">
        <v>4</v>
      </c>
      <c r="Y33">
        <v>3</v>
      </c>
      <c r="AA33">
        <v>56</v>
      </c>
      <c r="AB33">
        <v>11</v>
      </c>
      <c r="AC33">
        <v>48</v>
      </c>
      <c r="AD33">
        <v>2</v>
      </c>
      <c r="AE33">
        <v>4</v>
      </c>
      <c r="AF33">
        <f t="shared" si="0"/>
        <v>121</v>
      </c>
      <c r="AG33" s="4">
        <v>22593</v>
      </c>
      <c r="AH33" s="34"/>
      <c r="AI33" s="26" t="s">
        <v>98</v>
      </c>
      <c r="AJ33" s="35">
        <v>4</v>
      </c>
      <c r="AK33" s="51">
        <v>163148</v>
      </c>
      <c r="AL33" s="37">
        <v>59.6</v>
      </c>
      <c r="AM33" s="37">
        <v>4</v>
      </c>
      <c r="AN33" s="51">
        <v>72751</v>
      </c>
      <c r="AO33" s="37">
        <v>26.58</v>
      </c>
      <c r="AP33" s="37" t="s">
        <v>32</v>
      </c>
      <c r="AQ33" s="36">
        <v>36708</v>
      </c>
      <c r="AR33" s="37">
        <v>13.41</v>
      </c>
      <c r="AS33" s="37" t="s">
        <v>32</v>
      </c>
      <c r="AT33" s="37">
        <v>552</v>
      </c>
      <c r="AU33" s="37">
        <v>0.2</v>
      </c>
      <c r="AV33" s="37" t="s">
        <v>32</v>
      </c>
      <c r="AW33" s="37">
        <v>557</v>
      </c>
      <c r="AX33" s="37">
        <v>0.2</v>
      </c>
      <c r="AY33" s="37" t="s">
        <v>32</v>
      </c>
      <c r="AZ33" s="36">
        <v>90397</v>
      </c>
      <c r="BA33" s="37">
        <v>33.03</v>
      </c>
      <c r="BB33" s="36">
        <v>273716</v>
      </c>
      <c r="BC33" s="37" t="s">
        <v>99</v>
      </c>
    </row>
    <row r="34" spans="1:55" ht="15.75" thickBot="1">
      <c r="A34" t="s">
        <v>98</v>
      </c>
      <c r="B34">
        <v>4</v>
      </c>
      <c r="C34" s="34">
        <v>4250</v>
      </c>
      <c r="D34" s="1">
        <v>2787</v>
      </c>
      <c r="E34" s="1">
        <v>1157</v>
      </c>
      <c r="F34">
        <v>15</v>
      </c>
      <c r="G34">
        <v>1</v>
      </c>
      <c r="H34">
        <v>108</v>
      </c>
      <c r="I34">
        <v>182</v>
      </c>
      <c r="K34" s="34">
        <v>3666</v>
      </c>
      <c r="L34">
        <v>694</v>
      </c>
      <c r="M34" s="1">
        <v>2679</v>
      </c>
      <c r="N34">
        <v>30</v>
      </c>
      <c r="O34">
        <v>2</v>
      </c>
      <c r="P34">
        <v>97</v>
      </c>
      <c r="Q34">
        <v>164</v>
      </c>
      <c r="S34" s="1">
        <v>1111</v>
      </c>
      <c r="T34">
        <v>192</v>
      </c>
      <c r="U34">
        <v>743</v>
      </c>
      <c r="V34">
        <v>32</v>
      </c>
      <c r="W34">
        <v>5</v>
      </c>
      <c r="X34">
        <v>29</v>
      </c>
      <c r="Y34">
        <v>110</v>
      </c>
      <c r="AA34">
        <v>41</v>
      </c>
      <c r="AB34">
        <v>13</v>
      </c>
      <c r="AC34">
        <v>32</v>
      </c>
      <c r="AD34">
        <v>0</v>
      </c>
      <c r="AE34">
        <v>1</v>
      </c>
      <c r="AF34">
        <f t="shared" si="0"/>
        <v>87</v>
      </c>
      <c r="AG34" s="4">
        <v>9114</v>
      </c>
      <c r="AH34" s="34"/>
      <c r="AI34" s="26" t="s">
        <v>100</v>
      </c>
      <c r="AJ34" s="35">
        <v>26</v>
      </c>
      <c r="AK34" s="51">
        <v>1747140</v>
      </c>
      <c r="AL34" s="37">
        <v>57.99</v>
      </c>
      <c r="AM34" s="37">
        <v>26</v>
      </c>
      <c r="AN34" s="51">
        <v>1127855</v>
      </c>
      <c r="AO34" s="37">
        <v>37.44</v>
      </c>
      <c r="AP34" s="37" t="s">
        <v>32</v>
      </c>
      <c r="AQ34" s="36">
        <v>132212</v>
      </c>
      <c r="AR34" s="37">
        <v>4.3899999999999997</v>
      </c>
      <c r="AS34" s="37" t="s">
        <v>32</v>
      </c>
      <c r="AT34" s="37">
        <v>117</v>
      </c>
      <c r="AU34" s="37">
        <v>0</v>
      </c>
      <c r="AV34" s="37" t="s">
        <v>32</v>
      </c>
      <c r="AW34" s="36">
        <v>5265</v>
      </c>
      <c r="AX34" s="37">
        <v>0.17</v>
      </c>
      <c r="AY34" s="37" t="s">
        <v>32</v>
      </c>
      <c r="AZ34" s="36">
        <v>619285</v>
      </c>
      <c r="BA34" s="37">
        <v>20.56</v>
      </c>
      <c r="BB34" s="36">
        <v>3012589</v>
      </c>
      <c r="BC34" s="37" t="s">
        <v>101</v>
      </c>
    </row>
    <row r="35" spans="1:55" ht="15.75" thickBot="1">
      <c r="A35" t="s">
        <v>100</v>
      </c>
      <c r="B35">
        <v>26</v>
      </c>
      <c r="C35" s="34">
        <v>77896</v>
      </c>
      <c r="D35" s="1">
        <v>58232</v>
      </c>
      <c r="E35" s="1">
        <v>13391</v>
      </c>
      <c r="F35">
        <v>420</v>
      </c>
      <c r="G35">
        <v>66</v>
      </c>
      <c r="H35">
        <v>2747</v>
      </c>
      <c r="I35" s="1">
        <v>3040</v>
      </c>
      <c r="K35" s="34">
        <v>50778</v>
      </c>
      <c r="L35" s="1">
        <v>9465</v>
      </c>
      <c r="M35" s="1">
        <v>35864</v>
      </c>
      <c r="N35" s="1">
        <v>1315</v>
      </c>
      <c r="O35">
        <v>38</v>
      </c>
      <c r="P35" s="1">
        <v>2454</v>
      </c>
      <c r="Q35" s="1">
        <v>1642</v>
      </c>
      <c r="S35" s="1">
        <v>8156</v>
      </c>
      <c r="T35" s="1">
        <v>1580</v>
      </c>
      <c r="U35" s="1">
        <v>5389</v>
      </c>
      <c r="V35">
        <v>249</v>
      </c>
      <c r="W35">
        <v>14</v>
      </c>
      <c r="X35">
        <v>375</v>
      </c>
      <c r="Y35">
        <v>549</v>
      </c>
      <c r="AA35">
        <v>590</v>
      </c>
      <c r="AB35">
        <v>325</v>
      </c>
      <c r="AC35">
        <v>247</v>
      </c>
      <c r="AD35">
        <v>65</v>
      </c>
      <c r="AE35">
        <v>24</v>
      </c>
      <c r="AF35">
        <f t="shared" si="0"/>
        <v>1251</v>
      </c>
      <c r="AG35" s="4">
        <v>138081</v>
      </c>
      <c r="AH35" s="34"/>
      <c r="AI35" s="26" t="s">
        <v>102</v>
      </c>
      <c r="AJ35" s="35">
        <v>11</v>
      </c>
      <c r="AK35" s="51">
        <v>501069</v>
      </c>
      <c r="AL35" s="37">
        <v>66.83</v>
      </c>
      <c r="AM35" s="37">
        <v>11</v>
      </c>
      <c r="AN35" s="51">
        <v>245122</v>
      </c>
      <c r="AO35" s="37">
        <v>32.69</v>
      </c>
      <c r="AP35" s="37" t="s">
        <v>32</v>
      </c>
      <c r="AQ35" s="37" t="s">
        <v>32</v>
      </c>
      <c r="AR35" s="37" t="s">
        <v>32</v>
      </c>
      <c r="AS35" s="37" t="s">
        <v>32</v>
      </c>
      <c r="AT35" s="36">
        <v>2221</v>
      </c>
      <c r="AU35" s="37">
        <v>0.3</v>
      </c>
      <c r="AV35" s="37" t="s">
        <v>32</v>
      </c>
      <c r="AW35" s="36">
        <v>1328</v>
      </c>
      <c r="AX35" s="37">
        <v>0.18</v>
      </c>
      <c r="AY35" s="37" t="s">
        <v>32</v>
      </c>
      <c r="AZ35" s="36">
        <v>255947</v>
      </c>
      <c r="BA35" s="37">
        <v>34.14</v>
      </c>
      <c r="BB35" s="36">
        <v>749740</v>
      </c>
      <c r="BC35" s="37" t="s">
        <v>103</v>
      </c>
    </row>
    <row r="36" spans="1:55" ht="15.75" thickBot="1">
      <c r="A36" t="s">
        <v>102</v>
      </c>
      <c r="B36">
        <v>11</v>
      </c>
      <c r="C36" s="34">
        <v>14442</v>
      </c>
      <c r="D36" s="1">
        <v>8393</v>
      </c>
      <c r="E36" s="1">
        <v>4260</v>
      </c>
      <c r="F36">
        <v>29</v>
      </c>
      <c r="G36">
        <v>3</v>
      </c>
      <c r="H36" s="1">
        <v>1050</v>
      </c>
      <c r="I36">
        <v>707</v>
      </c>
      <c r="K36" s="34">
        <v>15075</v>
      </c>
      <c r="L36" s="1">
        <v>1289</v>
      </c>
      <c r="M36" s="1">
        <v>12389</v>
      </c>
      <c r="N36">
        <v>53</v>
      </c>
      <c r="O36">
        <v>2</v>
      </c>
      <c r="P36">
        <v>687</v>
      </c>
      <c r="Q36">
        <v>655</v>
      </c>
      <c r="S36">
        <v>217</v>
      </c>
      <c r="T36">
        <v>36</v>
      </c>
      <c r="U36">
        <v>143</v>
      </c>
      <c r="V36">
        <v>10</v>
      </c>
      <c r="W36">
        <v>0</v>
      </c>
      <c r="X36">
        <v>9</v>
      </c>
      <c r="Y36">
        <v>19</v>
      </c>
      <c r="AA36">
        <v>134</v>
      </c>
      <c r="AB36">
        <v>24</v>
      </c>
      <c r="AC36">
        <v>65</v>
      </c>
      <c r="AD36">
        <v>11</v>
      </c>
      <c r="AE36">
        <v>3</v>
      </c>
      <c r="AF36">
        <f t="shared" si="0"/>
        <v>237</v>
      </c>
      <c r="AG36" s="4">
        <v>29971</v>
      </c>
      <c r="AH36" s="34"/>
      <c r="AI36" s="26" t="s">
        <v>104</v>
      </c>
      <c r="AJ36" s="35">
        <v>5</v>
      </c>
      <c r="AK36" s="51">
        <v>266733</v>
      </c>
      <c r="AL36" s="37">
        <v>64.42</v>
      </c>
      <c r="AM36" s="37">
        <v>5</v>
      </c>
      <c r="AN36" s="51">
        <v>122706</v>
      </c>
      <c r="AO36" s="37">
        <v>29.64</v>
      </c>
      <c r="AP36" s="37" t="s">
        <v>32</v>
      </c>
      <c r="AQ36" s="36">
        <v>21831</v>
      </c>
      <c r="AR36" s="37">
        <v>5.27</v>
      </c>
      <c r="AS36" s="37" t="s">
        <v>32</v>
      </c>
      <c r="AT36" s="36">
        <v>2143</v>
      </c>
      <c r="AU36" s="37">
        <v>0.52</v>
      </c>
      <c r="AV36" s="37" t="s">
        <v>32</v>
      </c>
      <c r="AW36" s="37">
        <v>608</v>
      </c>
      <c r="AX36" s="37">
        <v>0.15</v>
      </c>
      <c r="AY36" s="37" t="s">
        <v>32</v>
      </c>
      <c r="AZ36" s="36">
        <v>144027</v>
      </c>
      <c r="BA36" s="37">
        <v>34.79</v>
      </c>
      <c r="BB36" s="36">
        <v>414021</v>
      </c>
      <c r="BC36" s="37" t="s">
        <v>105</v>
      </c>
    </row>
    <row r="37" spans="1:55" ht="15.75" thickBot="1">
      <c r="A37" t="s">
        <v>104</v>
      </c>
      <c r="B37">
        <v>5</v>
      </c>
      <c r="C37" s="34">
        <v>11747</v>
      </c>
      <c r="D37" s="1">
        <v>8593</v>
      </c>
      <c r="E37" s="1">
        <v>2014</v>
      </c>
      <c r="F37">
        <v>72</v>
      </c>
      <c r="G37">
        <v>6</v>
      </c>
      <c r="H37">
        <v>521</v>
      </c>
      <c r="I37">
        <v>541</v>
      </c>
      <c r="K37" s="34">
        <v>10951</v>
      </c>
      <c r="L37" s="1">
        <v>1966</v>
      </c>
      <c r="M37" s="1">
        <v>7666</v>
      </c>
      <c r="N37">
        <v>298</v>
      </c>
      <c r="O37">
        <v>7</v>
      </c>
      <c r="P37">
        <v>567</v>
      </c>
      <c r="Q37">
        <v>447</v>
      </c>
      <c r="S37">
        <v>655</v>
      </c>
      <c r="T37">
        <v>196</v>
      </c>
      <c r="U37">
        <v>313</v>
      </c>
      <c r="V37">
        <v>46</v>
      </c>
      <c r="W37">
        <v>7</v>
      </c>
      <c r="X37">
        <v>30</v>
      </c>
      <c r="Y37">
        <v>63</v>
      </c>
      <c r="AA37">
        <v>164</v>
      </c>
      <c r="AB37">
        <v>48</v>
      </c>
      <c r="AC37">
        <v>74</v>
      </c>
      <c r="AD37">
        <v>13</v>
      </c>
      <c r="AE37">
        <v>12</v>
      </c>
      <c r="AF37">
        <f t="shared" si="0"/>
        <v>311</v>
      </c>
      <c r="AG37" s="4">
        <v>23664</v>
      </c>
      <c r="AH37" s="34"/>
      <c r="AI37" s="26" t="s">
        <v>106</v>
      </c>
      <c r="AJ37" s="35">
        <v>36</v>
      </c>
      <c r="AK37" s="51">
        <v>2353987</v>
      </c>
      <c r="AL37" s="37">
        <v>56.88</v>
      </c>
      <c r="AM37" s="37">
        <v>36</v>
      </c>
      <c r="AN37" s="51">
        <v>1690200</v>
      </c>
      <c r="AO37" s="37">
        <v>40.840000000000003</v>
      </c>
      <c r="AP37" s="37" t="s">
        <v>32</v>
      </c>
      <c r="AQ37" s="36">
        <v>67468</v>
      </c>
      <c r="AR37" s="37">
        <v>1.63</v>
      </c>
      <c r="AS37" s="37" t="s">
        <v>32</v>
      </c>
      <c r="AT37" s="36">
        <v>14599</v>
      </c>
      <c r="AU37" s="37">
        <v>0.35</v>
      </c>
      <c r="AV37" s="37" t="s">
        <v>32</v>
      </c>
      <c r="AW37" s="36">
        <v>12172</v>
      </c>
      <c r="AX37" s="37">
        <v>0.28999999999999998</v>
      </c>
      <c r="AY37" s="37" t="s">
        <v>32</v>
      </c>
      <c r="AZ37" s="36">
        <v>663787</v>
      </c>
      <c r="BA37" s="37">
        <v>16.04</v>
      </c>
      <c r="BB37" s="36">
        <v>4138426</v>
      </c>
      <c r="BC37" s="37" t="s">
        <v>107</v>
      </c>
    </row>
    <row r="38" spans="1:55" ht="15.75" thickBot="1">
      <c r="A38" t="s">
        <v>106</v>
      </c>
      <c r="B38">
        <v>36</v>
      </c>
      <c r="C38" s="34">
        <v>119086</v>
      </c>
      <c r="D38" s="1">
        <v>86433</v>
      </c>
      <c r="E38" s="1">
        <v>20097</v>
      </c>
      <c r="F38">
        <v>543</v>
      </c>
      <c r="G38">
        <v>115</v>
      </c>
      <c r="H38" s="1">
        <v>6461</v>
      </c>
      <c r="I38" s="1">
        <v>5437</v>
      </c>
      <c r="K38" s="34">
        <v>81114</v>
      </c>
      <c r="L38" s="1">
        <v>14502</v>
      </c>
      <c r="M38" s="1">
        <v>56082</v>
      </c>
      <c r="N38">
        <v>1340</v>
      </c>
      <c r="O38">
        <v>55</v>
      </c>
      <c r="P38" s="1">
        <v>5733</v>
      </c>
      <c r="Q38" s="1">
        <v>3402</v>
      </c>
      <c r="S38" s="1">
        <v>7507</v>
      </c>
      <c r="T38" s="1">
        <v>1121</v>
      </c>
      <c r="U38" s="1">
        <v>5089</v>
      </c>
      <c r="V38">
        <v>187</v>
      </c>
      <c r="W38">
        <v>11</v>
      </c>
      <c r="X38">
        <v>467</v>
      </c>
      <c r="Y38">
        <v>632</v>
      </c>
      <c r="AA38" s="1">
        <v>1051</v>
      </c>
      <c r="AB38" s="1">
        <v>608</v>
      </c>
      <c r="AC38">
        <v>367</v>
      </c>
      <c r="AD38">
        <v>63</v>
      </c>
      <c r="AE38">
        <v>32</v>
      </c>
      <c r="AF38">
        <f t="shared" si="0"/>
        <v>2121</v>
      </c>
      <c r="AG38" s="4">
        <v>209828</v>
      </c>
      <c r="AH38" s="34"/>
      <c r="AI38" s="26" t="s">
        <v>109</v>
      </c>
      <c r="AJ38" s="35">
        <v>4</v>
      </c>
      <c r="AK38" s="51">
        <v>165238</v>
      </c>
      <c r="AL38" s="37">
        <v>53.1</v>
      </c>
      <c r="AM38" s="37">
        <v>4</v>
      </c>
      <c r="AN38" s="51">
        <v>125031</v>
      </c>
      <c r="AO38" s="37">
        <v>40.18</v>
      </c>
      <c r="AP38" s="37" t="s">
        <v>32</v>
      </c>
      <c r="AQ38" s="36">
        <v>19569</v>
      </c>
      <c r="AR38" s="37">
        <v>6.29</v>
      </c>
      <c r="AS38" s="37" t="s">
        <v>32</v>
      </c>
      <c r="AT38" s="37" t="s">
        <v>32</v>
      </c>
      <c r="AU38" s="37" t="s">
        <v>32</v>
      </c>
      <c r="AV38" s="37" t="s">
        <v>32</v>
      </c>
      <c r="AW38" s="36">
        <v>1340</v>
      </c>
      <c r="AX38" s="37">
        <v>0.43</v>
      </c>
      <c r="AY38" s="37" t="s">
        <v>32</v>
      </c>
      <c r="AZ38" s="36">
        <v>40207</v>
      </c>
      <c r="BA38" s="37">
        <v>12.92</v>
      </c>
      <c r="BB38" s="36">
        <v>311178</v>
      </c>
      <c r="BC38" s="37" t="s">
        <v>110</v>
      </c>
    </row>
    <row r="39" spans="1:55" ht="15.75" thickBot="1">
      <c r="A39" t="s">
        <v>109</v>
      </c>
      <c r="B39">
        <v>4</v>
      </c>
      <c r="C39" s="34">
        <v>10401</v>
      </c>
      <c r="D39" s="1">
        <v>8165</v>
      </c>
      <c r="E39">
        <v>1269</v>
      </c>
      <c r="F39">
        <v>32</v>
      </c>
      <c r="G39">
        <v>5</v>
      </c>
      <c r="H39">
        <v>511</v>
      </c>
      <c r="I39">
        <v>419</v>
      </c>
      <c r="K39" s="34">
        <v>3489</v>
      </c>
      <c r="L39">
        <v>600</v>
      </c>
      <c r="M39">
        <v>2470</v>
      </c>
      <c r="N39">
        <v>90</v>
      </c>
      <c r="O39">
        <v>0</v>
      </c>
      <c r="P39">
        <v>208</v>
      </c>
      <c r="Q39">
        <v>121</v>
      </c>
      <c r="S39">
        <v>794</v>
      </c>
      <c r="T39">
        <v>148</v>
      </c>
      <c r="U39">
        <v>545</v>
      </c>
      <c r="V39">
        <v>12</v>
      </c>
      <c r="W39">
        <v>3</v>
      </c>
      <c r="X39">
        <v>31</v>
      </c>
      <c r="Y39">
        <v>55</v>
      </c>
      <c r="AA39">
        <v>68</v>
      </c>
      <c r="AB39">
        <v>43</v>
      </c>
      <c r="AC39">
        <v>15</v>
      </c>
      <c r="AD39">
        <v>7</v>
      </c>
      <c r="AE39">
        <v>1</v>
      </c>
      <c r="AF39">
        <f t="shared" si="0"/>
        <v>134</v>
      </c>
      <c r="AG39" s="4">
        <v>14818</v>
      </c>
      <c r="AH39" s="34"/>
      <c r="AI39" s="26" t="s">
        <v>111</v>
      </c>
      <c r="AJ39" s="35">
        <v>8</v>
      </c>
      <c r="AK39" s="51">
        <v>113791</v>
      </c>
      <c r="AL39" s="37">
        <v>98.57</v>
      </c>
      <c r="AM39" s="37">
        <v>8</v>
      </c>
      <c r="AN39" s="51">
        <v>1646</v>
      </c>
      <c r="AO39" s="37">
        <v>1.43</v>
      </c>
      <c r="AP39" s="37" t="s">
        <v>32</v>
      </c>
      <c r="AQ39" s="37" t="s">
        <v>32</v>
      </c>
      <c r="AR39" s="37" t="s">
        <v>32</v>
      </c>
      <c r="AS39" s="37" t="s">
        <v>32</v>
      </c>
      <c r="AT39" s="37" t="s">
        <v>32</v>
      </c>
      <c r="AU39" s="37" t="s">
        <v>32</v>
      </c>
      <c r="AV39" s="37" t="s">
        <v>32</v>
      </c>
      <c r="AW39" s="37" t="s">
        <v>32</v>
      </c>
      <c r="AX39" s="37" t="s">
        <v>32</v>
      </c>
      <c r="AY39" s="37" t="s">
        <v>32</v>
      </c>
      <c r="AZ39" s="36">
        <v>112145</v>
      </c>
      <c r="BA39" s="37">
        <v>97.15</v>
      </c>
      <c r="BB39" s="36">
        <v>115437</v>
      </c>
      <c r="BC39" s="37" t="s">
        <v>112</v>
      </c>
    </row>
    <row r="40" spans="1:55" ht="15.75" thickBot="1">
      <c r="A40" t="s">
        <v>111</v>
      </c>
      <c r="B40">
        <v>8</v>
      </c>
      <c r="C40" s="34">
        <v>1247</v>
      </c>
      <c r="D40">
        <v>216</v>
      </c>
      <c r="E40">
        <v>658</v>
      </c>
      <c r="F40">
        <v>2</v>
      </c>
      <c r="G40">
        <v>0</v>
      </c>
      <c r="H40">
        <v>300</v>
      </c>
      <c r="I40">
        <v>71</v>
      </c>
      <c r="K40" s="34">
        <v>7105</v>
      </c>
      <c r="L40">
        <v>101</v>
      </c>
      <c r="M40" s="1">
        <v>5943</v>
      </c>
      <c r="N40">
        <v>6</v>
      </c>
      <c r="O40">
        <v>6</v>
      </c>
      <c r="P40">
        <v>701</v>
      </c>
      <c r="Q40">
        <v>348</v>
      </c>
      <c r="S40">
        <v>20</v>
      </c>
      <c r="T40">
        <v>2</v>
      </c>
      <c r="U40">
        <v>11</v>
      </c>
      <c r="V40">
        <v>1</v>
      </c>
      <c r="W40">
        <v>0</v>
      </c>
      <c r="X40">
        <v>2</v>
      </c>
      <c r="Y40">
        <v>4</v>
      </c>
      <c r="AA40">
        <v>12</v>
      </c>
      <c r="AB40">
        <v>13</v>
      </c>
      <c r="AC40">
        <v>22</v>
      </c>
      <c r="AD40">
        <v>0</v>
      </c>
      <c r="AE40">
        <v>7</v>
      </c>
      <c r="AF40">
        <f t="shared" si="0"/>
        <v>54</v>
      </c>
      <c r="AG40" s="4">
        <v>8426</v>
      </c>
      <c r="AH40" s="34"/>
      <c r="AI40" s="26" t="s">
        <v>113</v>
      </c>
      <c r="AJ40" s="35">
        <v>4</v>
      </c>
      <c r="AK40" s="51">
        <v>160137</v>
      </c>
      <c r="AL40" s="37">
        <v>54.02</v>
      </c>
      <c r="AM40" s="37">
        <v>4</v>
      </c>
      <c r="AN40" s="51">
        <v>125977</v>
      </c>
      <c r="AO40" s="37">
        <v>42.49</v>
      </c>
      <c r="AP40" s="37" t="s">
        <v>32</v>
      </c>
      <c r="AQ40" s="36">
        <v>10338</v>
      </c>
      <c r="AR40" s="37">
        <v>3.49</v>
      </c>
      <c r="AS40" s="37" t="s">
        <v>32</v>
      </c>
      <c r="AT40" s="37" t="s">
        <v>32</v>
      </c>
      <c r="AU40" s="37" t="s">
        <v>32</v>
      </c>
      <c r="AV40" s="37" t="s">
        <v>32</v>
      </c>
      <c r="AW40" s="37" t="s">
        <v>32</v>
      </c>
      <c r="AX40" s="37" t="s">
        <v>32</v>
      </c>
      <c r="AY40" s="37" t="s">
        <v>32</v>
      </c>
      <c r="AZ40" s="36">
        <v>34160</v>
      </c>
      <c r="BA40" s="37">
        <v>11.52</v>
      </c>
      <c r="BB40" s="36">
        <v>296472</v>
      </c>
      <c r="BC40" s="37" t="s">
        <v>114</v>
      </c>
    </row>
    <row r="41" spans="1:55" ht="15.75" thickBot="1">
      <c r="A41" t="s">
        <v>113</v>
      </c>
      <c r="B41">
        <v>4</v>
      </c>
      <c r="C41" s="34">
        <v>8483</v>
      </c>
      <c r="D41" s="1">
        <v>5712</v>
      </c>
      <c r="E41" s="1">
        <v>2096</v>
      </c>
      <c r="F41">
        <v>42</v>
      </c>
      <c r="G41">
        <v>14</v>
      </c>
      <c r="H41">
        <v>248</v>
      </c>
      <c r="I41">
        <v>371</v>
      </c>
      <c r="K41" s="34">
        <v>4507</v>
      </c>
      <c r="L41">
        <v>859</v>
      </c>
      <c r="M41" s="1">
        <v>3314</v>
      </c>
      <c r="N41">
        <v>46</v>
      </c>
      <c r="O41">
        <v>5</v>
      </c>
      <c r="P41">
        <v>125</v>
      </c>
      <c r="Q41">
        <v>158</v>
      </c>
      <c r="S41">
        <v>770</v>
      </c>
      <c r="T41">
        <v>122</v>
      </c>
      <c r="U41">
        <v>539</v>
      </c>
      <c r="V41">
        <v>20</v>
      </c>
      <c r="W41">
        <v>10</v>
      </c>
      <c r="X41">
        <v>20</v>
      </c>
      <c r="Y41">
        <v>59</v>
      </c>
      <c r="AA41">
        <v>43</v>
      </c>
      <c r="AB41">
        <v>26</v>
      </c>
      <c r="AC41">
        <v>24</v>
      </c>
      <c r="AD41">
        <v>2</v>
      </c>
      <c r="AE41">
        <v>3</v>
      </c>
      <c r="AF41">
        <f t="shared" si="0"/>
        <v>98</v>
      </c>
      <c r="AG41" s="4">
        <v>13858</v>
      </c>
      <c r="AH41" s="34"/>
      <c r="AI41" s="26" t="s">
        <v>115</v>
      </c>
      <c r="AJ41" s="35">
        <v>11</v>
      </c>
      <c r="AK41" s="51">
        <v>328083</v>
      </c>
      <c r="AL41" s="37">
        <v>68.849999999999994</v>
      </c>
      <c r="AM41" s="37">
        <v>11</v>
      </c>
      <c r="AN41" s="51">
        <v>146520</v>
      </c>
      <c r="AO41" s="37">
        <v>30.75</v>
      </c>
      <c r="AP41" s="37" t="s">
        <v>32</v>
      </c>
      <c r="AQ41" s="37">
        <v>296</v>
      </c>
      <c r="AR41" s="37">
        <v>0.06</v>
      </c>
      <c r="AS41" s="37" t="s">
        <v>32</v>
      </c>
      <c r="AT41" s="37">
        <v>686</v>
      </c>
      <c r="AU41" s="37">
        <v>0.14000000000000001</v>
      </c>
      <c r="AV41" s="37" t="s">
        <v>32</v>
      </c>
      <c r="AW41" s="37">
        <v>953</v>
      </c>
      <c r="AX41" s="37">
        <v>0.2</v>
      </c>
      <c r="AY41" s="37" t="s">
        <v>32</v>
      </c>
      <c r="AZ41" s="36">
        <v>181563</v>
      </c>
      <c r="BA41" s="37">
        <v>38.1</v>
      </c>
      <c r="BB41" s="36">
        <v>476538</v>
      </c>
      <c r="BC41" s="37" t="s">
        <v>116</v>
      </c>
    </row>
    <row r="42" spans="1:55" ht="15.75" thickBot="1">
      <c r="A42" t="s">
        <v>115</v>
      </c>
      <c r="B42">
        <v>11</v>
      </c>
      <c r="C42" s="34">
        <v>9883</v>
      </c>
      <c r="D42" s="1">
        <v>5785</v>
      </c>
      <c r="E42" s="1">
        <v>2354</v>
      </c>
      <c r="F42">
        <v>29</v>
      </c>
      <c r="G42">
        <v>31</v>
      </c>
      <c r="H42">
        <v>1178</v>
      </c>
      <c r="I42">
        <v>506</v>
      </c>
      <c r="K42" s="34">
        <v>19829</v>
      </c>
      <c r="L42" s="1">
        <v>1419</v>
      </c>
      <c r="M42">
        <v>15510</v>
      </c>
      <c r="N42">
        <v>128</v>
      </c>
      <c r="O42">
        <v>33</v>
      </c>
      <c r="P42" s="1">
        <v>1938</v>
      </c>
      <c r="Q42">
        <v>801</v>
      </c>
      <c r="S42">
        <v>100</v>
      </c>
      <c r="T42">
        <v>14</v>
      </c>
      <c r="U42">
        <v>63</v>
      </c>
      <c r="V42">
        <v>2</v>
      </c>
      <c r="W42">
        <v>0</v>
      </c>
      <c r="X42">
        <v>12</v>
      </c>
      <c r="Y42">
        <v>9</v>
      </c>
      <c r="AA42">
        <v>81</v>
      </c>
      <c r="AB42">
        <v>19</v>
      </c>
      <c r="AC42">
        <v>64</v>
      </c>
      <c r="AD42">
        <v>2</v>
      </c>
      <c r="AE42">
        <v>0</v>
      </c>
      <c r="AF42">
        <f t="shared" si="0"/>
        <v>166</v>
      </c>
      <c r="AG42" s="4">
        <v>29978</v>
      </c>
      <c r="AH42" s="34"/>
      <c r="AI42" s="26" t="s">
        <v>117</v>
      </c>
      <c r="AJ42" s="35">
        <v>23</v>
      </c>
      <c r="AK42" s="51">
        <v>734485</v>
      </c>
      <c r="AL42" s="37">
        <v>87.08</v>
      </c>
      <c r="AM42" s="37">
        <v>23</v>
      </c>
      <c r="AN42" s="51">
        <v>103874</v>
      </c>
      <c r="AO42" s="37">
        <v>12.31</v>
      </c>
      <c r="AP42" s="37" t="s">
        <v>32</v>
      </c>
      <c r="AQ42" s="36">
        <v>3281</v>
      </c>
      <c r="AR42" s="37">
        <v>0.39</v>
      </c>
      <c r="AS42" s="37" t="s">
        <v>32</v>
      </c>
      <c r="AT42" s="36">
        <v>1075</v>
      </c>
      <c r="AU42" s="37">
        <v>0.13</v>
      </c>
      <c r="AV42" s="37" t="s">
        <v>32</v>
      </c>
      <c r="AW42" s="37">
        <v>767</v>
      </c>
      <c r="AX42" s="37">
        <v>0.09</v>
      </c>
      <c r="AY42" s="37" t="s">
        <v>32</v>
      </c>
      <c r="AZ42" s="36">
        <v>630611</v>
      </c>
      <c r="BA42" s="37">
        <v>74.760000000000005</v>
      </c>
      <c r="BB42" s="36">
        <v>843482</v>
      </c>
      <c r="BC42" s="37" t="s">
        <v>118</v>
      </c>
    </row>
    <row r="43" spans="1:55" ht="15.75" thickBot="1">
      <c r="A43" t="s">
        <v>117</v>
      </c>
      <c r="B43">
        <v>23</v>
      </c>
      <c r="C43" s="34">
        <v>15341</v>
      </c>
      <c r="D43" s="1">
        <v>6302</v>
      </c>
      <c r="E43" s="1">
        <v>6774</v>
      </c>
      <c r="F43">
        <v>43</v>
      </c>
      <c r="G43">
        <v>3</v>
      </c>
      <c r="H43">
        <v>1559</v>
      </c>
      <c r="I43">
        <v>660</v>
      </c>
      <c r="K43" s="34">
        <v>37501</v>
      </c>
      <c r="L43">
        <v>1860</v>
      </c>
      <c r="M43" s="1">
        <v>31262</v>
      </c>
      <c r="N43">
        <v>149</v>
      </c>
      <c r="O43">
        <v>5</v>
      </c>
      <c r="P43" s="1">
        <v>2668</v>
      </c>
      <c r="Q43" s="1">
        <v>1557</v>
      </c>
      <c r="S43">
        <v>558</v>
      </c>
      <c r="T43">
        <v>58</v>
      </c>
      <c r="U43">
        <v>417</v>
      </c>
      <c r="V43">
        <v>13</v>
      </c>
      <c r="W43">
        <v>1</v>
      </c>
      <c r="X43">
        <v>28</v>
      </c>
      <c r="Y43">
        <v>41</v>
      </c>
      <c r="AA43">
        <v>187</v>
      </c>
      <c r="AB43">
        <v>49</v>
      </c>
      <c r="AC43">
        <v>87</v>
      </c>
      <c r="AD43">
        <v>9</v>
      </c>
      <c r="AE43">
        <v>14</v>
      </c>
      <c r="AF43">
        <f t="shared" si="0"/>
        <v>346</v>
      </c>
      <c r="AG43" s="4">
        <v>53746</v>
      </c>
      <c r="AH43" s="34"/>
      <c r="AI43" s="26" t="s">
        <v>119</v>
      </c>
      <c r="AJ43" s="35">
        <v>4</v>
      </c>
      <c r="AK43" s="51">
        <v>150246</v>
      </c>
      <c r="AL43" s="37">
        <v>69.34</v>
      </c>
      <c r="AM43" s="37">
        <v>4</v>
      </c>
      <c r="AN43" s="51">
        <v>64555</v>
      </c>
      <c r="AO43" s="37">
        <v>29.79</v>
      </c>
      <c r="AP43" s="37" t="s">
        <v>32</v>
      </c>
      <c r="AQ43" s="36">
        <v>1121</v>
      </c>
      <c r="AR43" s="37">
        <v>0.52</v>
      </c>
      <c r="AS43" s="37" t="s">
        <v>32</v>
      </c>
      <c r="AT43" s="37">
        <v>432</v>
      </c>
      <c r="AU43" s="37">
        <v>0.2</v>
      </c>
      <c r="AV43" s="37" t="s">
        <v>32</v>
      </c>
      <c r="AW43" s="37">
        <v>323</v>
      </c>
      <c r="AX43" s="37">
        <v>0.15</v>
      </c>
      <c r="AY43" s="37" t="s">
        <v>32</v>
      </c>
      <c r="AZ43" s="36">
        <v>85691</v>
      </c>
      <c r="BA43" s="37">
        <v>39.549999999999997</v>
      </c>
      <c r="BB43" s="36">
        <v>216677</v>
      </c>
      <c r="BC43" s="37" t="s">
        <v>120</v>
      </c>
    </row>
    <row r="44" spans="1:55" ht="15.75" thickBot="1">
      <c r="A44" t="s">
        <v>119</v>
      </c>
      <c r="B44">
        <v>4</v>
      </c>
      <c r="C44" s="34">
        <v>4067</v>
      </c>
      <c r="D44" s="1">
        <v>2906</v>
      </c>
      <c r="E44">
        <v>851</v>
      </c>
      <c r="F44">
        <v>21</v>
      </c>
      <c r="G44">
        <v>1</v>
      </c>
      <c r="H44">
        <v>155</v>
      </c>
      <c r="I44">
        <v>133</v>
      </c>
      <c r="K44" s="34">
        <v>5318</v>
      </c>
      <c r="L44">
        <v>954</v>
      </c>
      <c r="M44" s="1">
        <v>3935</v>
      </c>
      <c r="N44">
        <v>69</v>
      </c>
      <c r="O44">
        <v>8</v>
      </c>
      <c r="P44">
        <v>189</v>
      </c>
      <c r="Q44">
        <v>163</v>
      </c>
      <c r="S44">
        <v>119</v>
      </c>
      <c r="T44">
        <v>30</v>
      </c>
      <c r="U44">
        <v>65</v>
      </c>
      <c r="V44">
        <v>8</v>
      </c>
      <c r="W44">
        <v>0</v>
      </c>
      <c r="X44">
        <v>5</v>
      </c>
      <c r="Y44">
        <v>11</v>
      </c>
      <c r="AA44">
        <v>43</v>
      </c>
      <c r="AB44">
        <v>14</v>
      </c>
      <c r="AC44">
        <v>12</v>
      </c>
      <c r="AD44">
        <v>0</v>
      </c>
      <c r="AE44">
        <v>5</v>
      </c>
      <c r="AF44">
        <f t="shared" si="0"/>
        <v>74</v>
      </c>
      <c r="AG44" s="4">
        <v>9578</v>
      </c>
      <c r="AH44" s="34"/>
      <c r="AI44" s="30" t="s">
        <v>121</v>
      </c>
      <c r="AJ44" s="38">
        <v>3</v>
      </c>
      <c r="AK44" s="52">
        <v>62124</v>
      </c>
      <c r="AL44" s="40">
        <v>43.24</v>
      </c>
      <c r="AM44" s="40" t="s">
        <v>32</v>
      </c>
      <c r="AN44" s="52">
        <v>81023</v>
      </c>
      <c r="AO44" s="40">
        <v>56.39</v>
      </c>
      <c r="AP44" s="40">
        <v>3</v>
      </c>
      <c r="AQ44" s="40" t="s">
        <v>32</v>
      </c>
      <c r="AR44" s="40" t="s">
        <v>32</v>
      </c>
      <c r="AS44" s="40" t="s">
        <v>32</v>
      </c>
      <c r="AT44" s="40" t="s">
        <v>32</v>
      </c>
      <c r="AU44" s="40" t="s">
        <v>32</v>
      </c>
      <c r="AV44" s="40" t="s">
        <v>32</v>
      </c>
      <c r="AW44" s="40">
        <v>542</v>
      </c>
      <c r="AX44" s="40">
        <v>0.38</v>
      </c>
      <c r="AY44" s="40" t="s">
        <v>32</v>
      </c>
      <c r="AZ44" s="39">
        <v>-18899</v>
      </c>
      <c r="BA44" s="40">
        <v>-13.15</v>
      </c>
      <c r="BB44" s="39">
        <v>143689</v>
      </c>
      <c r="BC44" s="40" t="s">
        <v>122</v>
      </c>
    </row>
    <row r="45" spans="1:55" ht="15.75" thickBot="1">
      <c r="A45" t="s">
        <v>121</v>
      </c>
      <c r="B45">
        <v>3</v>
      </c>
      <c r="C45" s="34">
        <v>7241</v>
      </c>
      <c r="D45" s="1">
        <v>5829</v>
      </c>
      <c r="E45">
        <v>822</v>
      </c>
      <c r="F45">
        <v>20</v>
      </c>
      <c r="G45">
        <v>2</v>
      </c>
      <c r="H45">
        <v>239</v>
      </c>
      <c r="I45">
        <v>329</v>
      </c>
      <c r="K45" s="34">
        <v>2458</v>
      </c>
      <c r="L45">
        <v>498</v>
      </c>
      <c r="M45">
        <v>1756</v>
      </c>
      <c r="N45">
        <v>37</v>
      </c>
      <c r="O45">
        <v>0</v>
      </c>
      <c r="P45">
        <v>84</v>
      </c>
      <c r="Q45">
        <v>83</v>
      </c>
      <c r="S45">
        <v>174</v>
      </c>
      <c r="T45">
        <v>48</v>
      </c>
      <c r="U45">
        <v>90</v>
      </c>
      <c r="V45">
        <v>2</v>
      </c>
      <c r="W45">
        <v>0</v>
      </c>
      <c r="X45">
        <v>18</v>
      </c>
      <c r="Y45">
        <v>16</v>
      </c>
      <c r="AA45">
        <v>41</v>
      </c>
      <c r="AB45">
        <v>6</v>
      </c>
      <c r="AC45">
        <v>13</v>
      </c>
      <c r="AD45">
        <v>1</v>
      </c>
      <c r="AE45">
        <v>2</v>
      </c>
      <c r="AF45">
        <f t="shared" si="0"/>
        <v>63</v>
      </c>
      <c r="AG45" s="4">
        <v>9936</v>
      </c>
      <c r="AH45" s="34"/>
      <c r="AI45" s="26" t="s">
        <v>123</v>
      </c>
      <c r="AJ45" s="35">
        <v>11</v>
      </c>
      <c r="AK45" s="51">
        <v>234980</v>
      </c>
      <c r="AL45" s="37">
        <v>70.23</v>
      </c>
      <c r="AM45" s="37">
        <v>11</v>
      </c>
      <c r="AN45" s="51">
        <v>98336</v>
      </c>
      <c r="AO45" s="37">
        <v>29.39</v>
      </c>
      <c r="AP45" s="37" t="s">
        <v>32</v>
      </c>
      <c r="AQ45" s="37">
        <v>233</v>
      </c>
      <c r="AR45" s="37">
        <v>7.0000000000000007E-2</v>
      </c>
      <c r="AS45" s="37" t="s">
        <v>32</v>
      </c>
      <c r="AT45" s="37">
        <v>313</v>
      </c>
      <c r="AU45" s="37">
        <v>0.09</v>
      </c>
      <c r="AV45" s="37" t="s">
        <v>32</v>
      </c>
      <c r="AW45" s="37">
        <v>728</v>
      </c>
      <c r="AX45" s="37">
        <v>0.22</v>
      </c>
      <c r="AY45" s="37" t="s">
        <v>32</v>
      </c>
      <c r="AZ45" s="36">
        <v>136644</v>
      </c>
      <c r="BA45" s="37">
        <v>40.840000000000003</v>
      </c>
      <c r="BB45" s="36">
        <v>334590</v>
      </c>
      <c r="BC45" s="37" t="s">
        <v>124</v>
      </c>
    </row>
    <row r="46" spans="1:55" ht="15.75" thickBot="1">
      <c r="A46" t="s">
        <v>123</v>
      </c>
      <c r="B46">
        <v>11</v>
      </c>
      <c r="C46" s="34">
        <v>10223</v>
      </c>
      <c r="D46" s="1">
        <v>5696</v>
      </c>
      <c r="E46" s="1">
        <v>2848</v>
      </c>
      <c r="F46">
        <v>57</v>
      </c>
      <c r="G46">
        <v>18</v>
      </c>
      <c r="H46">
        <v>1194</v>
      </c>
      <c r="I46">
        <v>410</v>
      </c>
      <c r="K46" s="4">
        <v>16783</v>
      </c>
      <c r="L46" s="1">
        <v>1121</v>
      </c>
      <c r="M46" s="1">
        <v>13346</v>
      </c>
      <c r="N46">
        <v>141</v>
      </c>
      <c r="O46">
        <v>14</v>
      </c>
      <c r="P46">
        <v>1517</v>
      </c>
      <c r="Q46">
        <v>644</v>
      </c>
      <c r="S46">
        <v>74</v>
      </c>
      <c r="T46">
        <v>17</v>
      </c>
      <c r="U46">
        <v>37</v>
      </c>
      <c r="V46">
        <v>4</v>
      </c>
      <c r="W46">
        <v>0</v>
      </c>
      <c r="X46">
        <v>8</v>
      </c>
      <c r="Y46">
        <v>8</v>
      </c>
      <c r="AA46">
        <v>88</v>
      </c>
      <c r="AB46">
        <v>33</v>
      </c>
      <c r="AC46">
        <v>60</v>
      </c>
      <c r="AD46">
        <v>3</v>
      </c>
      <c r="AE46">
        <v>4</v>
      </c>
      <c r="AF46">
        <f t="shared" si="0"/>
        <v>188</v>
      </c>
      <c r="AG46" s="4">
        <v>27268</v>
      </c>
      <c r="AH46" s="34"/>
      <c r="AI46" s="26" t="s">
        <v>125</v>
      </c>
      <c r="AJ46" s="35">
        <v>8</v>
      </c>
      <c r="AK46" s="51">
        <v>459579</v>
      </c>
      <c r="AL46" s="37">
        <v>66.38</v>
      </c>
      <c r="AM46" s="37">
        <v>8</v>
      </c>
      <c r="AN46" s="51">
        <v>206892</v>
      </c>
      <c r="AO46" s="37">
        <v>29.88</v>
      </c>
      <c r="AP46" s="37" t="s">
        <v>32</v>
      </c>
      <c r="AQ46" s="36">
        <v>17463</v>
      </c>
      <c r="AR46" s="37">
        <v>2.52</v>
      </c>
      <c r="AS46" s="37" t="s">
        <v>32</v>
      </c>
      <c r="AT46" s="36">
        <v>3496</v>
      </c>
      <c r="AU46" s="37">
        <v>0.5</v>
      </c>
      <c r="AV46" s="37" t="s">
        <v>32</v>
      </c>
      <c r="AW46" s="36">
        <v>4908</v>
      </c>
      <c r="AX46" s="37">
        <v>0.71</v>
      </c>
      <c r="AY46" s="37" t="s">
        <v>32</v>
      </c>
      <c r="AZ46" s="36">
        <v>252687</v>
      </c>
      <c r="BA46" s="37">
        <v>36.5</v>
      </c>
      <c r="BB46" s="36">
        <v>692338</v>
      </c>
      <c r="BC46" s="37" t="s">
        <v>126</v>
      </c>
    </row>
    <row r="47" spans="1:55" ht="15.75" thickBot="1">
      <c r="A47" t="s">
        <v>125</v>
      </c>
      <c r="B47">
        <v>8</v>
      </c>
      <c r="C47" s="34">
        <v>21370</v>
      </c>
      <c r="D47" s="1">
        <v>14841</v>
      </c>
      <c r="E47" s="1">
        <v>4800</v>
      </c>
      <c r="F47">
        <v>67</v>
      </c>
      <c r="G47">
        <v>30</v>
      </c>
      <c r="H47">
        <v>806</v>
      </c>
      <c r="I47">
        <v>826</v>
      </c>
      <c r="K47" s="4">
        <v>15300</v>
      </c>
      <c r="L47" s="1">
        <v>2281</v>
      </c>
      <c r="M47" s="1">
        <v>11423</v>
      </c>
      <c r="N47">
        <v>278</v>
      </c>
      <c r="O47">
        <v>53</v>
      </c>
      <c r="P47">
        <v>709</v>
      </c>
      <c r="Q47">
        <v>556</v>
      </c>
      <c r="S47">
        <v>683</v>
      </c>
      <c r="T47">
        <v>170</v>
      </c>
      <c r="U47">
        <v>374</v>
      </c>
      <c r="V47">
        <v>28</v>
      </c>
      <c r="W47">
        <v>27</v>
      </c>
      <c r="X47">
        <v>31</v>
      </c>
      <c r="Y47">
        <v>53</v>
      </c>
      <c r="AA47">
        <v>190</v>
      </c>
      <c r="AB47">
        <v>136</v>
      </c>
      <c r="AC47">
        <v>91</v>
      </c>
      <c r="AD47">
        <v>23</v>
      </c>
      <c r="AE47">
        <v>14</v>
      </c>
      <c r="AF47">
        <f t="shared" si="0"/>
        <v>454</v>
      </c>
      <c r="AG47" s="4">
        <v>37807</v>
      </c>
      <c r="AH47" s="34"/>
      <c r="AI47" s="26" t="s">
        <v>127</v>
      </c>
      <c r="AJ47" s="35">
        <v>8</v>
      </c>
      <c r="AK47" s="51">
        <v>502582</v>
      </c>
      <c r="AL47" s="37">
        <v>60.56</v>
      </c>
      <c r="AM47" s="37">
        <v>8</v>
      </c>
      <c r="AN47" s="51">
        <v>325358</v>
      </c>
      <c r="AO47" s="37">
        <v>39.200000000000003</v>
      </c>
      <c r="AP47" s="37" t="s">
        <v>32</v>
      </c>
      <c r="AQ47" s="37" t="s">
        <v>32</v>
      </c>
      <c r="AR47" s="37" t="s">
        <v>32</v>
      </c>
      <c r="AS47" s="37" t="s">
        <v>32</v>
      </c>
      <c r="AT47" s="37">
        <v>832</v>
      </c>
      <c r="AU47" s="37">
        <v>0.1</v>
      </c>
      <c r="AV47" s="37" t="s">
        <v>32</v>
      </c>
      <c r="AW47" s="36">
        <v>1173</v>
      </c>
      <c r="AX47" s="37">
        <v>0.14000000000000001</v>
      </c>
      <c r="AY47" s="37" t="s">
        <v>32</v>
      </c>
      <c r="AZ47" s="36">
        <v>177224</v>
      </c>
      <c r="BA47" s="37">
        <v>21.35</v>
      </c>
      <c r="BB47" s="36">
        <v>829945</v>
      </c>
      <c r="BC47" s="37" t="s">
        <v>128</v>
      </c>
    </row>
    <row r="48" spans="1:55" ht="15.75" thickBot="1">
      <c r="A48" t="s">
        <v>127</v>
      </c>
      <c r="B48">
        <v>8</v>
      </c>
      <c r="C48" s="34">
        <v>13660</v>
      </c>
      <c r="D48" s="1">
        <v>10060</v>
      </c>
      <c r="E48" s="1">
        <v>2589</v>
      </c>
      <c r="F48">
        <v>30</v>
      </c>
      <c r="G48">
        <v>15</v>
      </c>
      <c r="H48">
        <v>424</v>
      </c>
      <c r="I48">
        <v>542</v>
      </c>
      <c r="K48" s="4">
        <v>10235</v>
      </c>
      <c r="L48" s="1">
        <v>1278</v>
      </c>
      <c r="M48" s="1">
        <v>8229</v>
      </c>
      <c r="N48">
        <v>52</v>
      </c>
      <c r="O48">
        <v>11</v>
      </c>
      <c r="P48">
        <v>305</v>
      </c>
      <c r="Q48">
        <v>360</v>
      </c>
      <c r="S48">
        <v>199</v>
      </c>
      <c r="T48">
        <v>51</v>
      </c>
      <c r="U48">
        <v>119</v>
      </c>
      <c r="V48">
        <v>4</v>
      </c>
      <c r="W48">
        <v>1</v>
      </c>
      <c r="X48">
        <v>11</v>
      </c>
      <c r="Y48">
        <v>13</v>
      </c>
      <c r="AA48">
        <v>63</v>
      </c>
      <c r="AB48">
        <v>7</v>
      </c>
      <c r="AC48">
        <v>41</v>
      </c>
      <c r="AD48">
        <v>1</v>
      </c>
      <c r="AE48">
        <v>4</v>
      </c>
      <c r="AF48">
        <f t="shared" si="0"/>
        <v>116</v>
      </c>
      <c r="AG48" s="4">
        <v>24210</v>
      </c>
      <c r="AH48" s="34"/>
      <c r="AI48" s="26" t="s">
        <v>129</v>
      </c>
      <c r="AJ48" s="35">
        <v>12</v>
      </c>
      <c r="AK48" s="51">
        <v>802984</v>
      </c>
      <c r="AL48" s="37">
        <v>63.8</v>
      </c>
      <c r="AM48" s="37">
        <v>12</v>
      </c>
      <c r="AN48" s="51">
        <v>380828</v>
      </c>
      <c r="AO48" s="37">
        <v>30.26</v>
      </c>
      <c r="AP48" s="37" t="s">
        <v>32</v>
      </c>
      <c r="AQ48" s="36">
        <v>60297</v>
      </c>
      <c r="AR48" s="37">
        <v>4.79</v>
      </c>
      <c r="AS48" s="37" t="s">
        <v>32</v>
      </c>
      <c r="AT48" s="36">
        <v>10626</v>
      </c>
      <c r="AU48" s="37">
        <v>0.84</v>
      </c>
      <c r="AV48" s="37" t="s">
        <v>32</v>
      </c>
      <c r="AW48" s="36">
        <v>3825</v>
      </c>
      <c r="AX48" s="37">
        <v>0.3</v>
      </c>
      <c r="AY48" s="37" t="s">
        <v>32</v>
      </c>
      <c r="AZ48" s="36">
        <v>422156</v>
      </c>
      <c r="BA48" s="37">
        <v>33.54</v>
      </c>
      <c r="BB48" s="36">
        <v>1258560</v>
      </c>
      <c r="BC48" s="37" t="s">
        <v>130</v>
      </c>
    </row>
    <row r="49" spans="1:55" ht="15.75" thickBot="1">
      <c r="A49" t="s">
        <v>129</v>
      </c>
      <c r="B49">
        <v>12</v>
      </c>
      <c r="C49" s="34">
        <v>33796</v>
      </c>
      <c r="D49" s="1">
        <v>22587</v>
      </c>
      <c r="E49" s="1">
        <v>8495</v>
      </c>
      <c r="F49">
        <v>157</v>
      </c>
      <c r="G49">
        <v>12</v>
      </c>
      <c r="H49" s="1">
        <v>1142</v>
      </c>
      <c r="I49" s="1">
        <v>1403</v>
      </c>
      <c r="K49" s="4">
        <v>20781</v>
      </c>
      <c r="L49" s="1">
        <v>3144</v>
      </c>
      <c r="M49">
        <v>15578</v>
      </c>
      <c r="N49">
        <v>582</v>
      </c>
      <c r="O49">
        <v>4</v>
      </c>
      <c r="P49">
        <v>799</v>
      </c>
      <c r="Q49">
        <v>674</v>
      </c>
      <c r="S49">
        <v>3642</v>
      </c>
      <c r="T49">
        <v>412</v>
      </c>
      <c r="U49">
        <v>2717</v>
      </c>
      <c r="V49">
        <v>118</v>
      </c>
      <c r="W49">
        <v>0</v>
      </c>
      <c r="X49">
        <v>110</v>
      </c>
      <c r="Y49">
        <v>285</v>
      </c>
      <c r="AA49">
        <v>686</v>
      </c>
      <c r="AB49">
        <v>160</v>
      </c>
      <c r="AC49">
        <v>97</v>
      </c>
      <c r="AD49">
        <v>10</v>
      </c>
      <c r="AE49">
        <v>6</v>
      </c>
      <c r="AF49">
        <f t="shared" si="0"/>
        <v>959</v>
      </c>
      <c r="AG49" s="4">
        <v>59178</v>
      </c>
      <c r="AH49" s="34"/>
      <c r="AI49" s="26" t="s">
        <v>131</v>
      </c>
      <c r="AJ49" s="35">
        <v>3</v>
      </c>
      <c r="AK49" s="51">
        <v>62624</v>
      </c>
      <c r="AL49" s="37">
        <v>60.58</v>
      </c>
      <c r="AM49" s="37">
        <v>3</v>
      </c>
      <c r="AN49" s="51">
        <v>38739</v>
      </c>
      <c r="AO49" s="37">
        <v>37.47</v>
      </c>
      <c r="AP49" s="37" t="s">
        <v>32</v>
      </c>
      <c r="AQ49" s="36">
        <v>1653</v>
      </c>
      <c r="AR49" s="37">
        <v>1.6</v>
      </c>
      <c r="AS49" s="37" t="s">
        <v>32</v>
      </c>
      <c r="AT49" s="37">
        <v>200</v>
      </c>
      <c r="AU49" s="37">
        <v>0.19</v>
      </c>
      <c r="AV49" s="37" t="s">
        <v>32</v>
      </c>
      <c r="AW49" s="37">
        <v>166</v>
      </c>
      <c r="AX49" s="37">
        <v>0.16</v>
      </c>
      <c r="AY49" s="37" t="s">
        <v>32</v>
      </c>
      <c r="AZ49" s="36">
        <v>23885</v>
      </c>
      <c r="BA49" s="37">
        <v>23.1</v>
      </c>
      <c r="BB49" s="36">
        <v>103382</v>
      </c>
      <c r="BC49" s="37" t="s">
        <v>132</v>
      </c>
    </row>
    <row r="50" spans="1:55" ht="15.75" thickBot="1">
      <c r="A50" t="s">
        <v>131</v>
      </c>
      <c r="B50">
        <v>3</v>
      </c>
      <c r="C50" s="34">
        <v>2526</v>
      </c>
      <c r="D50" s="1">
        <v>1830</v>
      </c>
      <c r="E50">
        <v>510</v>
      </c>
      <c r="F50">
        <v>15</v>
      </c>
      <c r="G50">
        <v>1</v>
      </c>
      <c r="H50">
        <v>83</v>
      </c>
      <c r="I50">
        <v>87</v>
      </c>
      <c r="K50" s="34">
        <v>1533</v>
      </c>
      <c r="L50">
        <v>242</v>
      </c>
      <c r="M50" s="1">
        <v>1144</v>
      </c>
      <c r="N50">
        <v>27</v>
      </c>
      <c r="O50">
        <v>1</v>
      </c>
      <c r="P50">
        <v>63</v>
      </c>
      <c r="Q50">
        <v>56</v>
      </c>
      <c r="S50">
        <v>78</v>
      </c>
      <c r="T50">
        <v>22</v>
      </c>
      <c r="U50">
        <v>46</v>
      </c>
      <c r="V50">
        <v>1</v>
      </c>
      <c r="W50">
        <v>1</v>
      </c>
      <c r="X50">
        <v>4</v>
      </c>
      <c r="Y50">
        <v>4</v>
      </c>
      <c r="AA50">
        <v>11</v>
      </c>
      <c r="AB50">
        <v>2</v>
      </c>
      <c r="AC50">
        <v>2</v>
      </c>
      <c r="AD50">
        <v>0</v>
      </c>
      <c r="AE50">
        <v>0</v>
      </c>
      <c r="AF50">
        <f t="shared" si="0"/>
        <v>15</v>
      </c>
      <c r="AG50" s="4">
        <v>4152</v>
      </c>
      <c r="AH50" s="34"/>
      <c r="AI50" s="26"/>
      <c r="AJ50" s="35"/>
      <c r="AK50" s="26"/>
      <c r="AL50" s="37"/>
      <c r="AM50" s="37"/>
      <c r="AN50" s="26"/>
      <c r="AO50" s="37"/>
      <c r="AP50" s="37"/>
      <c r="AQ50" s="36"/>
      <c r="AR50" s="37"/>
      <c r="AS50" s="37"/>
      <c r="AT50" s="37"/>
      <c r="AU50" s="37"/>
      <c r="AV50" s="37"/>
      <c r="AW50" s="37"/>
      <c r="AX50" s="37"/>
      <c r="AY50" s="37"/>
      <c r="AZ50" s="36"/>
      <c r="BA50" s="37"/>
      <c r="BB50" s="36"/>
      <c r="BC50" s="37"/>
    </row>
    <row r="51" spans="1:55" ht="15.75" thickBot="1">
      <c r="A51" t="s">
        <v>266</v>
      </c>
      <c r="B51">
        <v>0</v>
      </c>
      <c r="C51" s="34">
        <v>7158</v>
      </c>
      <c r="D51" s="1">
        <v>4763</v>
      </c>
      <c r="E51" s="1">
        <v>1416</v>
      </c>
      <c r="F51">
        <v>35</v>
      </c>
      <c r="G51">
        <v>5</v>
      </c>
      <c r="H51">
        <v>263</v>
      </c>
      <c r="I51">
        <v>676</v>
      </c>
      <c r="K51" s="34">
        <v>6545</v>
      </c>
      <c r="L51">
        <v>924</v>
      </c>
      <c r="M51" s="1">
        <v>4724</v>
      </c>
      <c r="N51">
        <v>97</v>
      </c>
      <c r="O51">
        <v>9</v>
      </c>
      <c r="P51">
        <v>231</v>
      </c>
      <c r="Q51">
        <v>560</v>
      </c>
      <c r="S51">
        <v>693</v>
      </c>
      <c r="T51">
        <v>125</v>
      </c>
      <c r="U51">
        <v>406</v>
      </c>
      <c r="V51">
        <v>23</v>
      </c>
      <c r="W51">
        <v>1</v>
      </c>
      <c r="X51">
        <v>35</v>
      </c>
      <c r="Y51">
        <v>103</v>
      </c>
      <c r="AA51">
        <v>67</v>
      </c>
      <c r="AB51">
        <v>38</v>
      </c>
      <c r="AC51">
        <v>52</v>
      </c>
      <c r="AD51">
        <v>8</v>
      </c>
      <c r="AE51">
        <v>2</v>
      </c>
      <c r="AF51">
        <f t="shared" si="0"/>
        <v>167</v>
      </c>
      <c r="AG51" s="34">
        <f>SUM(C51+K51+S51+SUM(AA51:AE51))</f>
        <v>14563</v>
      </c>
      <c r="AH51" s="34"/>
      <c r="AI51" s="41" t="s">
        <v>134</v>
      </c>
      <c r="AJ51" s="41">
        <v>531</v>
      </c>
      <c r="AK51" s="42">
        <v>27752648</v>
      </c>
      <c r="AL51" s="41">
        <v>60.8</v>
      </c>
      <c r="AM51" s="41">
        <v>523</v>
      </c>
      <c r="AN51" s="42">
        <v>16681862</v>
      </c>
      <c r="AO51" s="41">
        <v>36.54</v>
      </c>
      <c r="AP51" s="41">
        <v>8</v>
      </c>
      <c r="AQ51" s="42">
        <v>892378</v>
      </c>
      <c r="AR51" s="41">
        <v>1.95</v>
      </c>
      <c r="AS51" s="41" t="s">
        <v>32</v>
      </c>
      <c r="AT51" s="42">
        <v>187910</v>
      </c>
      <c r="AU51" s="41">
        <v>0.41</v>
      </c>
      <c r="AV51" s="41" t="s">
        <v>32</v>
      </c>
      <c r="AW51" s="42">
        <v>132901</v>
      </c>
      <c r="AX51" s="41">
        <v>0.28999999999999998</v>
      </c>
      <c r="AY51" s="41" t="s">
        <v>32</v>
      </c>
      <c r="AZ51" s="42">
        <v>11070786</v>
      </c>
      <c r="BA51" s="41">
        <v>24.25</v>
      </c>
      <c r="BB51" s="42">
        <v>45647699</v>
      </c>
      <c r="BC51" s="43" t="s">
        <v>135</v>
      </c>
    </row>
    <row r="52" spans="1:55">
      <c r="A52" t="s">
        <v>228</v>
      </c>
      <c r="B52" s="1">
        <f t="shared" ref="B52:I52" si="1">SUM(B3:B51)</f>
        <v>531</v>
      </c>
      <c r="C52" s="34">
        <f t="shared" si="1"/>
        <v>1293669</v>
      </c>
      <c r="D52" s="1">
        <f t="shared" si="1"/>
        <v>920225</v>
      </c>
      <c r="E52" s="1">
        <f t="shared" si="1"/>
        <v>250059</v>
      </c>
      <c r="F52" s="1">
        <f t="shared" si="1"/>
        <v>5629</v>
      </c>
      <c r="G52" s="1">
        <f t="shared" si="1"/>
        <v>825</v>
      </c>
      <c r="H52" s="1">
        <f t="shared" si="1"/>
        <v>61323</v>
      </c>
      <c r="I52" s="1">
        <f t="shared" si="1"/>
        <v>55608</v>
      </c>
      <c r="J52" s="1"/>
      <c r="K52" s="34">
        <f t="shared" ref="K52:Q52" si="2">SUM(K3:K51)</f>
        <v>972897</v>
      </c>
      <c r="L52" s="1">
        <f t="shared" si="2"/>
        <v>142942</v>
      </c>
      <c r="M52" s="1">
        <f t="shared" si="2"/>
        <v>714194</v>
      </c>
      <c r="N52" s="1">
        <f t="shared" si="2"/>
        <v>18420</v>
      </c>
      <c r="O52" s="1">
        <f t="shared" si="2"/>
        <v>722</v>
      </c>
      <c r="P52" s="1">
        <f t="shared" si="2"/>
        <v>57310</v>
      </c>
      <c r="Q52" s="1">
        <f t="shared" si="2"/>
        <v>39309</v>
      </c>
      <c r="R52" s="1"/>
      <c r="S52" s="1">
        <f t="shared" ref="S52:Y52" si="3">SUM(S3:S51)</f>
        <v>83610</v>
      </c>
      <c r="T52" s="1">
        <f t="shared" si="3"/>
        <v>14845</v>
      </c>
      <c r="U52" s="1">
        <f t="shared" si="3"/>
        <v>55757</v>
      </c>
      <c r="V52" s="1">
        <f t="shared" si="3"/>
        <v>2333</v>
      </c>
      <c r="W52" s="1">
        <f t="shared" si="3"/>
        <v>223</v>
      </c>
      <c r="X52" s="1">
        <f t="shared" si="3"/>
        <v>3679</v>
      </c>
      <c r="Y52" s="1">
        <f t="shared" si="3"/>
        <v>6773</v>
      </c>
      <c r="AA52">
        <f>SUM(AA3:AA51)</f>
        <v>11822</v>
      </c>
      <c r="AB52">
        <f>SUM(AB3:AB51)</f>
        <v>9485</v>
      </c>
      <c r="AC52">
        <f>SUM(AC3:AC51)</f>
        <v>3771</v>
      </c>
      <c r="AD52">
        <f t="shared" ref="AD52:AG52" si="4">SUM(AD3:AD51)</f>
        <v>683</v>
      </c>
      <c r="AE52">
        <f t="shared" si="4"/>
        <v>586</v>
      </c>
      <c r="AF52">
        <f t="shared" si="4"/>
        <v>26347</v>
      </c>
      <c r="AG52" s="4">
        <f t="shared" si="4"/>
        <v>2376523</v>
      </c>
      <c r="AH52" s="1"/>
    </row>
    <row r="53" spans="1:55">
      <c r="C53"/>
      <c r="K53"/>
    </row>
    <row r="55" spans="1:55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</row>
    <row r="56" spans="1:55">
      <c r="C56" s="2"/>
      <c r="D56" s="2"/>
      <c r="K56" s="1"/>
    </row>
    <row r="57" spans="1:55">
      <c r="B57" s="1"/>
      <c r="C57" s="34"/>
      <c r="D57" s="1"/>
    </row>
  </sheetData>
  <mergeCells count="4">
    <mergeCell ref="T1:Y1"/>
    <mergeCell ref="L1:Q1"/>
    <mergeCell ref="D1:I1"/>
    <mergeCell ref="AA1:AE1"/>
  </mergeCells>
  <hyperlinks>
    <hyperlink ref="AI2" r:id="rId1" tooltip="1936 United States presidential election in Alabama" display="https://en.wikipedia.org/wiki/1936_United_States_presidential_election_in_Alabama" xr:uid="{60C43BB2-928D-46F4-A45C-44906C6D7B8D}"/>
    <hyperlink ref="AI3" r:id="rId2" tooltip="1936 United States presidential election in Arizona" display="https://en.wikipedia.org/wiki/1936_United_States_presidential_election_in_Arizona" xr:uid="{450D4A4C-9C26-4011-8274-0E7968A99BA5}"/>
    <hyperlink ref="AI4" r:id="rId3" tooltip="1936 United States presidential election in Arkansas" display="https://en.wikipedia.org/wiki/1936_United_States_presidential_election_in_Arkansas" xr:uid="{E5CB080C-12CA-40A3-988C-834C0C07E998}"/>
    <hyperlink ref="AI5" r:id="rId4" tooltip="1936 United States presidential election in California" display="https://en.wikipedia.org/wiki/1936_United_States_presidential_election_in_California" xr:uid="{ED9A2DAB-4994-4768-9FEA-43EBDE6C214A}"/>
    <hyperlink ref="AI6" r:id="rId5" tooltip="1936 United States presidential election in Colorado" display="https://en.wikipedia.org/wiki/1936_United_States_presidential_election_in_Colorado" xr:uid="{21338DA3-E91D-4EDC-B010-D642FF5D30E8}"/>
    <hyperlink ref="AI7" r:id="rId6" tooltip="1936 United States presidential election in Connecticut" display="https://en.wikipedia.org/wiki/1936_United_States_presidential_election_in_Connecticut" xr:uid="{DECCB9CA-1E78-46A2-9EA2-386F60550CFA}"/>
    <hyperlink ref="AI9" r:id="rId7" tooltip="1936 United States presidential election in Florida" display="https://en.wikipedia.org/wiki/1936_United_States_presidential_election_in_Florida" xr:uid="{3728D021-56CE-4CDB-BA34-C4BF5D355136}"/>
    <hyperlink ref="AI10" r:id="rId8" tooltip="1936 United States presidential election in Georgia" display="https://en.wikipedia.org/wiki/1936_United_States_presidential_election_in_Georgia" xr:uid="{D090B41C-19F5-424D-B9CC-5BDDCB3F6EE3}"/>
    <hyperlink ref="AI11" r:id="rId9" tooltip="1936 United States presidential election in Idaho" display="https://en.wikipedia.org/wiki/1936_United_States_presidential_election_in_Idaho" xr:uid="{73D8F974-88A0-45A9-8F7C-305CF66BCA9C}"/>
    <hyperlink ref="AI12" r:id="rId10" tooltip="1936 United States presidential election in Illinois" display="https://en.wikipedia.org/wiki/1936_United_States_presidential_election_in_Illinois" xr:uid="{E408B9FD-276F-4472-8B8E-3CBABB231986}"/>
    <hyperlink ref="AI13" r:id="rId11" tooltip="1936 United States presidential election in Indiana" display="https://en.wikipedia.org/wiki/1936_United_States_presidential_election_in_Indiana" xr:uid="{6B722865-91B4-4D53-AFB3-CFD9ABDF0E0B}"/>
    <hyperlink ref="AI14" r:id="rId12" tooltip="1936 United States presidential election in Iowa" display="https://en.wikipedia.org/wiki/1936_United_States_presidential_election_in_Iowa" xr:uid="{6CB32777-0400-462C-82D4-2BC538757362}"/>
    <hyperlink ref="AI15" r:id="rId13" tooltip="1936 United States presidential election in Kansas" display="https://en.wikipedia.org/wiki/1936_United_States_presidential_election_in_Kansas" xr:uid="{2A088D20-6CBA-415C-9C44-0887FB9580D2}"/>
    <hyperlink ref="AI16" r:id="rId14" tooltip="1936 United States presidential election in Kentucky" display="https://en.wikipedia.org/wiki/1936_United_States_presidential_election_in_Kentucky" xr:uid="{AC1D8534-4DD6-4442-B145-A33BAA160406}"/>
    <hyperlink ref="AI17" r:id="rId15" tooltip="1936 United States presidential election in Louisiana" display="https://en.wikipedia.org/wiki/1936_United_States_presidential_election_in_Louisiana" xr:uid="{94428870-9F3D-40D4-B844-6CEB759DDDED}"/>
    <hyperlink ref="AI18" r:id="rId16" tooltip="1936 United States presidential election in Maine" display="https://en.wikipedia.org/wiki/1936_United_States_presidential_election_in_Maine" xr:uid="{8A3FDF5E-E58C-444A-BB97-1601A2BA7C72}"/>
    <hyperlink ref="AI19" r:id="rId17" tooltip="1936 United States presidential election in Maryland" display="https://en.wikipedia.org/wiki/1936_United_States_presidential_election_in_Maryland" xr:uid="{C912F492-7CAF-4A7D-B4BA-C10E7CEC84FA}"/>
    <hyperlink ref="AI20" r:id="rId18" tooltip="1936 United States presidential election in Massachusetts" display="https://en.wikipedia.org/wiki/1936_United_States_presidential_election_in_Massachusetts" xr:uid="{2367034C-AFD8-47AE-B04C-B27F7FFC395F}"/>
    <hyperlink ref="AI21" r:id="rId19" tooltip="1936 United States presidential election in Michigan" display="https://en.wikipedia.org/wiki/1936_United_States_presidential_election_in_Michigan" xr:uid="{D0AD14BD-9282-4161-B6ED-3D7A16EAD8BB}"/>
    <hyperlink ref="AI22" r:id="rId20" tooltip="1936 United States presidential election in Minnesota" display="https://en.wikipedia.org/wiki/1936_United_States_presidential_election_in_Minnesota" xr:uid="{86124994-A1A5-4740-9AB5-1366BDC539EF}"/>
    <hyperlink ref="AI23" r:id="rId21" tooltip="1936 United States presidential election in Mississippi" display="https://en.wikipedia.org/wiki/1936_United_States_presidential_election_in_Mississippi" xr:uid="{0F9C7310-2F65-4E19-AB74-16B06A4E5BD0}"/>
    <hyperlink ref="AI24" r:id="rId22" tooltip="1936 United States presidential election in Missouri" display="https://en.wikipedia.org/wiki/1936_United_States_presidential_election_in_Missouri" xr:uid="{BF91CC43-11E9-4371-B836-16B7E2B91F82}"/>
    <hyperlink ref="AI25" r:id="rId23" tooltip="1936 United States presidential election in Montana" display="https://en.wikipedia.org/wiki/1936_United_States_presidential_election_in_Montana" xr:uid="{310030CE-72E1-4D16-AF4A-0C2C199D4D76}"/>
    <hyperlink ref="AI26" r:id="rId24" tooltip="1936 United States presidential election in Nebraska" display="https://en.wikipedia.org/wiki/1936_United_States_presidential_election_in_Nebraska" xr:uid="{B94360B0-EA93-4A0A-9238-521CEABAC94D}"/>
    <hyperlink ref="AI27" r:id="rId25" tooltip="1936 United States presidential election in Nevada" display="https://en.wikipedia.org/wiki/1936_United_States_presidential_election_in_Nevada" xr:uid="{188A23B1-066F-40BB-8D32-DC2D849E02AD}"/>
    <hyperlink ref="AI28" r:id="rId26" tooltip="1936 United States presidential election in New Hampshire" display="https://en.wikipedia.org/wiki/1936_United_States_presidential_election_in_New_Hampshire" xr:uid="{A610DAD4-FBE5-4397-A9E7-2E71B91ADDFC}"/>
    <hyperlink ref="AI29" r:id="rId27" tooltip="1936 United States presidential election in New Jersey" display="https://en.wikipedia.org/wiki/1936_United_States_presidential_election_in_New_Jersey" xr:uid="{5138FB10-5C3E-4C15-9134-6D096D206B3B}"/>
    <hyperlink ref="AI30" r:id="rId28" tooltip="1936 United States presidential election in New Mexico" display="https://en.wikipedia.org/wiki/1936_United_States_presidential_election_in_New_Mexico" xr:uid="{2AB41908-E05A-4A32-ADCE-B4E305AE9853}"/>
    <hyperlink ref="AI31" r:id="rId29" tooltip="1936 United States presidential election in New York" display="https://en.wikipedia.org/wiki/1936_United_States_presidential_election_in_New_York" xr:uid="{953ABC2C-9C91-4C28-92CA-5D578AAE1835}"/>
    <hyperlink ref="AI32" r:id="rId30" tooltip="1936 United States presidential election in North Carolina" display="https://en.wikipedia.org/wiki/1936_United_States_presidential_election_in_North_Carolina" xr:uid="{41EA2D2D-8E08-4100-B2EA-F3232119DB1E}"/>
    <hyperlink ref="AI33" r:id="rId31" tooltip="1936 United States presidential election in North Dakota" display="https://en.wikipedia.org/wiki/1936_United_States_presidential_election_in_North_Dakota" xr:uid="{C40231B1-190C-4083-AA5D-126E02E5A32C}"/>
    <hyperlink ref="AI34" r:id="rId32" tooltip="1936 United States presidential election in Ohio" display="https://en.wikipedia.org/wiki/1936_United_States_presidential_election_in_Ohio" xr:uid="{A054B68C-C495-4BF3-B62C-F3F0B31FEDA6}"/>
    <hyperlink ref="AI35" r:id="rId33" tooltip="1936 United States presidential election in Oklahoma" display="https://en.wikipedia.org/wiki/1936_United_States_presidential_election_in_Oklahoma" xr:uid="{90CB4F96-1D7E-421A-B69A-93B636CCE723}"/>
    <hyperlink ref="AI36" r:id="rId34" tooltip="1936 United States presidential election in Oregon" display="https://en.wikipedia.org/wiki/1936_United_States_presidential_election_in_Oregon" xr:uid="{1A10B0EE-1874-4818-8712-B51F5728E360}"/>
    <hyperlink ref="AI37" r:id="rId35" tooltip="1936 United States presidential election in Pennsylvania" display="https://en.wikipedia.org/wiki/1936_United_States_presidential_election_in_Pennsylvania" xr:uid="{184372C1-62A3-474D-B773-0AC6A9D5DD00}"/>
    <hyperlink ref="AI38" r:id="rId36" tooltip="1936 United States presidential election in Rhode Island" display="https://en.wikipedia.org/wiki/1936_United_States_presidential_election_in_Rhode_Island" xr:uid="{73E90998-E3FB-4EC4-B862-FCB7C10C21DC}"/>
    <hyperlink ref="AI39" r:id="rId37" tooltip="1936 United States presidential election in South Carolina" display="https://en.wikipedia.org/wiki/1936_United_States_presidential_election_in_South_Carolina" xr:uid="{35DD1768-0C53-403A-9A49-1B2AFE65D52A}"/>
    <hyperlink ref="AI40" r:id="rId38" tooltip="1936 United States presidential election in South Dakota" display="https://en.wikipedia.org/wiki/1936_United_States_presidential_election_in_South_Dakota" xr:uid="{8294A9FC-F152-4B1C-9F1B-94A960F6A6C2}"/>
    <hyperlink ref="AI41" r:id="rId39" tooltip="1936 United States presidential election in Tennessee" display="https://en.wikipedia.org/wiki/1936_United_States_presidential_election_in_Tennessee" xr:uid="{57B0EB8D-D656-4570-BB05-958DAB14AF7D}"/>
    <hyperlink ref="AI42" r:id="rId40" tooltip="1936 United States presidential election in Texas" display="https://en.wikipedia.org/wiki/1936_United_States_presidential_election_in_Texas" xr:uid="{8128CDEC-B143-4713-9276-7F0ADE3D4D9A}"/>
    <hyperlink ref="AI43" r:id="rId41" tooltip="1936 United States presidential election in Utah" display="https://en.wikipedia.org/wiki/1936_United_States_presidential_election_in_Utah" xr:uid="{087F7DBE-42AF-4898-A33C-C9C67B1A955E}"/>
    <hyperlink ref="AI44" r:id="rId42" tooltip="1936 United States presidential election in Vermont" display="https://en.wikipedia.org/wiki/1936_United_States_presidential_election_in_Vermont" xr:uid="{5939B04F-225A-4068-8E0A-404634D26F0F}"/>
    <hyperlink ref="AI45" r:id="rId43" tooltip="1936 United States presidential election in Virginia" display="https://en.wikipedia.org/wiki/1936_United_States_presidential_election_in_Virginia" xr:uid="{E2B8D2EA-0182-49D4-88D7-3A084ADD93A0}"/>
    <hyperlink ref="AI46" r:id="rId44" tooltip="1936 United States presidential election in Washington (state)" display="https://en.wikipedia.org/wiki/1936_United_States_presidential_election_in_Washington_(state)" xr:uid="{F7DD3B72-100B-4675-BDE5-F3813D71A9A4}"/>
    <hyperlink ref="AI47" r:id="rId45" tooltip="1936 United States presidential election in West Virginia" display="https://en.wikipedia.org/wiki/1936_United_States_presidential_election_in_West_Virginia" xr:uid="{7CF755AE-4BA8-45F5-8D53-AB8EA97D1236}"/>
    <hyperlink ref="AI48" r:id="rId46" tooltip="1936 United States presidential election in Wisconsin" display="https://en.wikipedia.org/wiki/1936_United_States_presidential_election_in_Wisconsin" xr:uid="{A2A46F6F-79BF-444E-BF8B-4CA77541162A}"/>
    <hyperlink ref="AI49" r:id="rId47" tooltip="1936 United States presidential election in Wyoming" display="https://en.wikipedia.org/wiki/1936_United_States_presidential_election_in_Wyoming" xr:uid="{3CDB2C10-C1DD-4151-8A97-611B4110D0A8}"/>
    <hyperlink ref="AI8" r:id="rId48" tooltip="1936 United States presidential election in Delaware" display="https://en.wikipedia.org/wiki/1936_United_States_presidential_election_in_Delaware" xr:uid="{5AEFF2FC-257A-4890-94DA-E146EE03226B}"/>
  </hyperlinks>
  <pageMargins left="0.7" right="0.7" top="0.75" bottom="0.75" header="0.3" footer="0.3"/>
  <legacyDrawing r:id="rId4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D5417DF2C9384F8796C1881EFF898A" ma:contentTypeVersion="4" ma:contentTypeDescription="Crie um novo documento." ma:contentTypeScope="" ma:versionID="d569489b759f008def9d985170c87c58">
  <xsd:schema xmlns:xsd="http://www.w3.org/2001/XMLSchema" xmlns:xs="http://www.w3.org/2001/XMLSchema" xmlns:p="http://schemas.microsoft.com/office/2006/metadata/properties" xmlns:ns2="69816ea0-90e9-4fe1-b6e7-1593035ce719" targetNamespace="http://schemas.microsoft.com/office/2006/metadata/properties" ma:root="true" ma:fieldsID="c9678ff2b75b3856343add6c3abfaf4c" ns2:_="">
    <xsd:import namespace="69816ea0-90e9-4fe1-b6e7-1593035ce71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16ea0-90e9-4fe1-b6e7-1593035ce71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9816ea0-90e9-4fe1-b6e7-1593035ce719" xsi:nil="true"/>
  </documentManagement>
</p:properties>
</file>

<file path=customXml/itemProps1.xml><?xml version="1.0" encoding="utf-8"?>
<ds:datastoreItem xmlns:ds="http://schemas.openxmlformats.org/officeDocument/2006/customXml" ds:itemID="{C1516BF2-A061-4E0B-820C-48129396CBB4}"/>
</file>

<file path=customXml/itemProps2.xml><?xml version="1.0" encoding="utf-8"?>
<ds:datastoreItem xmlns:ds="http://schemas.openxmlformats.org/officeDocument/2006/customXml" ds:itemID="{5A7347D6-9C07-4469-818E-0A6941AF5E90}"/>
</file>

<file path=customXml/itemProps3.xml><?xml version="1.0" encoding="utf-8"?>
<ds:datastoreItem xmlns:ds="http://schemas.openxmlformats.org/officeDocument/2006/customXml" ds:itemID="{5F2BC3FD-B663-4A02-B781-CF0256C00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bchance</dc:creator>
  <cp:keywords/>
  <dc:description/>
  <cp:lastModifiedBy>Fabiano Bezerra Menegidio</cp:lastModifiedBy>
  <cp:revision/>
  <dcterms:created xsi:type="dcterms:W3CDTF">2023-07-13T19:24:39Z</dcterms:created>
  <dcterms:modified xsi:type="dcterms:W3CDTF">2026-03-17T21:36:42Z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0x01010045D5417DF2C9384F8796C1881EFF898A</vt:lpwstr>
  </property>
  <property fmtid="{D5CDD505-2E9C-101B-9397-08002B2CF9AE}" pid="3" name="MediaServiceImageTags">
    <vt:lpwstr/>
  </property>
</Properties>
</file>